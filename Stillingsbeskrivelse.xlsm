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Desktop\Github projects\StillingsBeskrivelseBeregning\"/>
    </mc:Choice>
  </mc:AlternateContent>
  <xr:revisionPtr revIDLastSave="0" documentId="13_ncr:1_{262B8F92-F2AE-4D43-BB23-462444DB5F1A}" xr6:coauthVersionLast="44" xr6:coauthVersionMax="45" xr10:uidLastSave="{00000000-0000-0000-0000-000000000000}"/>
  <bookViews>
    <workbookView xWindow="4230" yWindow="-120" windowWidth="21600" windowHeight="11385" tabRatio="926" xr2:uid="{00000000-000D-0000-FFFF-FFFF00000000}"/>
  </bookViews>
  <sheets>
    <sheet name="Oversikt ansatte" sheetId="5" r:id="rId1"/>
    <sheet name="StillingsbeskrivelseMAL" sheetId="6" r:id="rId2"/>
    <sheet name="Stillingsfordeling" sheetId="4" r:id="rId3"/>
    <sheet name="Stillingsplan" sheetId="1" r:id="rId4"/>
    <sheet name="StillingsbeskrivelseMAL (2)" sheetId="11" state="hidden" r:id="rId5"/>
  </sheets>
  <externalReferences>
    <externalReference r:id="rId6"/>
  </externalReferences>
  <definedNames>
    <definedName name="Ansatte">[1]Ansatte!$A$2:$A$60</definedName>
    <definedName name="FAG">[1]Tallgrunnlag!$A$3:$A$29</definedName>
    <definedName name="Fellestid">[1]Tallgrunnlag!$A$58:$A$80</definedName>
    <definedName name="Klasse">[1]Tallgrunnlag!$B$87:$B$95</definedName>
    <definedName name="Klasser">[1]Elever!$A$2:$A$17</definedName>
    <definedName name="Nedslag">[1]Tallgrunnlag!$A$34:$A$47</definedName>
    <definedName name="Stillingstype">[1]Tallgrunnlag!$A$98:$A$104</definedName>
    <definedName name="Trinn">[1]Tallgrunnlag!$A$87:$A$89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0" i="11" l="1"/>
  <c r="K35" i="11"/>
  <c r="J35" i="11"/>
  <c r="I35" i="11"/>
  <c r="F35" i="11"/>
  <c r="E35" i="11"/>
  <c r="D35" i="11"/>
  <c r="K34" i="11"/>
  <c r="J34" i="11"/>
  <c r="I34" i="11"/>
  <c r="F34" i="11"/>
  <c r="E34" i="11"/>
  <c r="D34" i="11"/>
  <c r="K33" i="11"/>
  <c r="J33" i="11"/>
  <c r="I33" i="11"/>
  <c r="F33" i="11"/>
  <c r="E33" i="11"/>
  <c r="D33" i="11"/>
  <c r="F32" i="11"/>
  <c r="E32" i="11"/>
  <c r="I32" i="11" s="1"/>
  <c r="J32" i="11" s="1"/>
  <c r="D32" i="11"/>
  <c r="D31" i="11"/>
  <c r="A31" i="11"/>
  <c r="F31" i="11" s="1"/>
  <c r="O30" i="11"/>
  <c r="N30" i="11"/>
  <c r="O29" i="11"/>
  <c r="N29" i="11"/>
  <c r="O28" i="11"/>
  <c r="N28" i="11"/>
  <c r="N27" i="11"/>
  <c r="O27" i="11" s="1"/>
  <c r="N26" i="11"/>
  <c r="O26" i="11" s="1"/>
  <c r="N25" i="11"/>
  <c r="O25" i="11" s="1"/>
  <c r="K25" i="11"/>
  <c r="J25" i="11"/>
  <c r="I25" i="11"/>
  <c r="N24" i="11"/>
  <c r="O24" i="11" s="1"/>
  <c r="O23" i="11"/>
  <c r="N22" i="11"/>
  <c r="O22" i="11" s="1"/>
  <c r="N21" i="11"/>
  <c r="O21" i="11" s="1"/>
  <c r="N20" i="11"/>
  <c r="O20" i="11" s="1"/>
  <c r="K20" i="11"/>
  <c r="J20" i="11"/>
  <c r="I20" i="11"/>
  <c r="H20" i="11"/>
  <c r="G20" i="11"/>
  <c r="F20" i="11"/>
  <c r="E20" i="11"/>
  <c r="D20" i="11"/>
  <c r="N19" i="11"/>
  <c r="O19" i="11" s="1"/>
  <c r="K19" i="11"/>
  <c r="J19" i="11"/>
  <c r="I19" i="11"/>
  <c r="H19" i="11"/>
  <c r="G19" i="11"/>
  <c r="F19" i="11"/>
  <c r="E19" i="11"/>
  <c r="D19" i="11"/>
  <c r="N18" i="11"/>
  <c r="O18" i="11" s="1"/>
  <c r="K18" i="11"/>
  <c r="J18" i="11"/>
  <c r="I18" i="11"/>
  <c r="H18" i="11"/>
  <c r="G18" i="11"/>
  <c r="F18" i="11"/>
  <c r="E18" i="11"/>
  <c r="D18" i="11"/>
  <c r="N17" i="11"/>
  <c r="O17" i="11" s="1"/>
  <c r="K17" i="11"/>
  <c r="J17" i="11"/>
  <c r="I17" i="11"/>
  <c r="H17" i="11"/>
  <c r="G17" i="11"/>
  <c r="F17" i="11"/>
  <c r="E17" i="11"/>
  <c r="D17" i="11"/>
  <c r="O16" i="11"/>
  <c r="N16" i="11"/>
  <c r="K16" i="11"/>
  <c r="J16" i="11"/>
  <c r="I16" i="11"/>
  <c r="H16" i="11"/>
  <c r="G16" i="11"/>
  <c r="F16" i="11"/>
  <c r="E16" i="11"/>
  <c r="D16" i="11"/>
  <c r="N15" i="11"/>
  <c r="O15" i="11" s="1"/>
  <c r="K15" i="11"/>
  <c r="J15" i="11"/>
  <c r="I15" i="11"/>
  <c r="H15" i="11"/>
  <c r="G15" i="11"/>
  <c r="F15" i="11"/>
  <c r="E15" i="11"/>
  <c r="D15" i="11"/>
  <c r="N14" i="11"/>
  <c r="O14" i="11" s="1"/>
  <c r="K14" i="11"/>
  <c r="J14" i="11"/>
  <c r="I14" i="11"/>
  <c r="H14" i="11"/>
  <c r="G14" i="11"/>
  <c r="F14" i="11"/>
  <c r="E14" i="11"/>
  <c r="D14" i="11"/>
  <c r="K13" i="11"/>
  <c r="J13" i="11"/>
  <c r="I13" i="11"/>
  <c r="H13" i="11"/>
  <c r="G13" i="11"/>
  <c r="F13" i="11"/>
  <c r="E13" i="11"/>
  <c r="D13" i="11"/>
  <c r="K12" i="11"/>
  <c r="J12" i="11"/>
  <c r="I12" i="11"/>
  <c r="H12" i="11"/>
  <c r="G12" i="11"/>
  <c r="F12" i="11"/>
  <c r="E12" i="11"/>
  <c r="D12" i="11"/>
  <c r="K11" i="11"/>
  <c r="J11" i="11"/>
  <c r="I11" i="11"/>
  <c r="H11" i="11"/>
  <c r="G11" i="11"/>
  <c r="F11" i="11"/>
  <c r="E11" i="11"/>
  <c r="D11" i="11"/>
  <c r="N10" i="11"/>
  <c r="O10" i="11" s="1"/>
  <c r="K10" i="11"/>
  <c r="J10" i="11"/>
  <c r="I10" i="11"/>
  <c r="H10" i="11"/>
  <c r="G10" i="11"/>
  <c r="F10" i="11"/>
  <c r="E10" i="11"/>
  <c r="D10" i="11"/>
  <c r="N9" i="11"/>
  <c r="O9" i="11" s="1"/>
  <c r="K9" i="11"/>
  <c r="J9" i="11"/>
  <c r="I9" i="11"/>
  <c r="H9" i="11"/>
  <c r="G9" i="11"/>
  <c r="F9" i="11"/>
  <c r="E9" i="11"/>
  <c r="D9" i="11"/>
  <c r="N8" i="11"/>
  <c r="O8" i="11" s="1"/>
  <c r="K8" i="11"/>
  <c r="J8" i="11"/>
  <c r="I8" i="11"/>
  <c r="H8" i="11"/>
  <c r="G8" i="11"/>
  <c r="F8" i="11"/>
  <c r="E8" i="11"/>
  <c r="D8" i="11"/>
  <c r="N7" i="11"/>
  <c r="K7" i="11"/>
  <c r="J7" i="11"/>
  <c r="I7" i="11"/>
  <c r="H7" i="11"/>
  <c r="G7" i="11"/>
  <c r="F7" i="11"/>
  <c r="E7" i="11"/>
  <c r="D7" i="11"/>
  <c r="N6" i="11"/>
  <c r="K6" i="11"/>
  <c r="J6" i="11"/>
  <c r="I6" i="11"/>
  <c r="H6" i="11"/>
  <c r="G6" i="11"/>
  <c r="F6" i="11"/>
  <c r="E6" i="11"/>
  <c r="D6" i="11"/>
  <c r="I21" i="11" l="1"/>
  <c r="J21" i="11"/>
  <c r="K32" i="11"/>
  <c r="K21" i="11"/>
  <c r="E31" i="11"/>
  <c r="I31" i="11" s="1"/>
  <c r="F40" i="6"/>
  <c r="K35" i="6"/>
  <c r="J35" i="6"/>
  <c r="I35" i="6"/>
  <c r="F35" i="6"/>
  <c r="E35" i="6"/>
  <c r="D35" i="6"/>
  <c r="K34" i="6"/>
  <c r="J34" i="6"/>
  <c r="I34" i="6"/>
  <c r="F34" i="6"/>
  <c r="E34" i="6"/>
  <c r="D34" i="6"/>
  <c r="K33" i="6"/>
  <c r="J33" i="6"/>
  <c r="I33" i="6"/>
  <c r="F33" i="6"/>
  <c r="E33" i="6"/>
  <c r="D33" i="6"/>
  <c r="F32" i="6"/>
  <c r="E32" i="6"/>
  <c r="I32" i="6" s="1"/>
  <c r="J32" i="6" s="1"/>
  <c r="D32" i="6"/>
  <c r="D31" i="6"/>
  <c r="A31" i="6"/>
  <c r="E31" i="6" s="1"/>
  <c r="O30" i="6"/>
  <c r="N30" i="6"/>
  <c r="O29" i="6"/>
  <c r="N29" i="6"/>
  <c r="O28" i="6"/>
  <c r="N28" i="6"/>
  <c r="N27" i="6"/>
  <c r="O27" i="6" s="1"/>
  <c r="N26" i="6"/>
  <c r="O26" i="6" s="1"/>
  <c r="N25" i="6"/>
  <c r="O25" i="6" s="1"/>
  <c r="K25" i="6"/>
  <c r="J25" i="6"/>
  <c r="I25" i="6"/>
  <c r="N24" i="6"/>
  <c r="O24" i="6" s="1"/>
  <c r="O23" i="6"/>
  <c r="N22" i="6"/>
  <c r="O22" i="6" s="1"/>
  <c r="N21" i="6"/>
  <c r="O21" i="6" s="1"/>
  <c r="N20" i="6"/>
  <c r="O20" i="6" s="1"/>
  <c r="K20" i="6"/>
  <c r="J20" i="6"/>
  <c r="I20" i="6"/>
  <c r="H20" i="6"/>
  <c r="G20" i="6"/>
  <c r="F20" i="6"/>
  <c r="E20" i="6"/>
  <c r="D20" i="6"/>
  <c r="N19" i="6"/>
  <c r="O19" i="6" s="1"/>
  <c r="K19" i="6"/>
  <c r="J19" i="6"/>
  <c r="I19" i="6"/>
  <c r="H19" i="6"/>
  <c r="G19" i="6"/>
  <c r="F19" i="6"/>
  <c r="E19" i="6"/>
  <c r="D19" i="6"/>
  <c r="N18" i="6"/>
  <c r="O18" i="6" s="1"/>
  <c r="K18" i="6"/>
  <c r="J18" i="6"/>
  <c r="I18" i="6"/>
  <c r="H18" i="6"/>
  <c r="G18" i="6"/>
  <c r="F18" i="6"/>
  <c r="E18" i="6"/>
  <c r="D18" i="6"/>
  <c r="N17" i="6"/>
  <c r="O17" i="6" s="1"/>
  <c r="K17" i="6"/>
  <c r="J17" i="6"/>
  <c r="I17" i="6"/>
  <c r="H17" i="6"/>
  <c r="G17" i="6"/>
  <c r="F17" i="6"/>
  <c r="E17" i="6"/>
  <c r="D17" i="6"/>
  <c r="N16" i="6"/>
  <c r="O16" i="6" s="1"/>
  <c r="K16" i="6"/>
  <c r="J16" i="6"/>
  <c r="I16" i="6"/>
  <c r="H16" i="6"/>
  <c r="G16" i="6"/>
  <c r="F16" i="6"/>
  <c r="E16" i="6"/>
  <c r="D16" i="6"/>
  <c r="N15" i="6"/>
  <c r="O15" i="6" s="1"/>
  <c r="K15" i="6"/>
  <c r="J15" i="6"/>
  <c r="I15" i="6"/>
  <c r="H15" i="6"/>
  <c r="G15" i="6"/>
  <c r="F15" i="6"/>
  <c r="E15" i="6"/>
  <c r="D15" i="6"/>
  <c r="N14" i="6"/>
  <c r="O14" i="6" s="1"/>
  <c r="K14" i="6"/>
  <c r="J14" i="6"/>
  <c r="I14" i="6"/>
  <c r="H14" i="6"/>
  <c r="G14" i="6"/>
  <c r="F14" i="6"/>
  <c r="E14" i="6"/>
  <c r="D14" i="6"/>
  <c r="K13" i="6"/>
  <c r="J13" i="6"/>
  <c r="I13" i="6"/>
  <c r="H13" i="6"/>
  <c r="G13" i="6"/>
  <c r="F13" i="6"/>
  <c r="E13" i="6"/>
  <c r="D13" i="6"/>
  <c r="K12" i="6"/>
  <c r="J12" i="6"/>
  <c r="I12" i="6"/>
  <c r="H12" i="6"/>
  <c r="G12" i="6"/>
  <c r="F12" i="6"/>
  <c r="E12" i="6"/>
  <c r="D12" i="6"/>
  <c r="K11" i="6"/>
  <c r="J11" i="6"/>
  <c r="I11" i="6"/>
  <c r="H11" i="6"/>
  <c r="G11" i="6"/>
  <c r="F11" i="6"/>
  <c r="E11" i="6"/>
  <c r="D11" i="6"/>
  <c r="N10" i="6"/>
  <c r="O10" i="6" s="1"/>
  <c r="K10" i="6"/>
  <c r="J10" i="6"/>
  <c r="I10" i="6"/>
  <c r="H10" i="6"/>
  <c r="G10" i="6"/>
  <c r="F10" i="6"/>
  <c r="E10" i="6"/>
  <c r="D10" i="6"/>
  <c r="N9" i="6"/>
  <c r="O9" i="6" s="1"/>
  <c r="K9" i="6"/>
  <c r="J9" i="6"/>
  <c r="I9" i="6"/>
  <c r="H9" i="6"/>
  <c r="G9" i="6"/>
  <c r="F9" i="6"/>
  <c r="E9" i="6"/>
  <c r="D9" i="6"/>
  <c r="N8" i="6"/>
  <c r="O8" i="6" s="1"/>
  <c r="K8" i="6"/>
  <c r="J8" i="6"/>
  <c r="I8" i="6"/>
  <c r="H8" i="6"/>
  <c r="G8" i="6"/>
  <c r="F8" i="6"/>
  <c r="E8" i="6"/>
  <c r="D8" i="6"/>
  <c r="N7" i="6"/>
  <c r="K7" i="6"/>
  <c r="J7" i="6"/>
  <c r="I7" i="6"/>
  <c r="H7" i="6"/>
  <c r="G7" i="6"/>
  <c r="F7" i="6"/>
  <c r="E7" i="6"/>
  <c r="D7" i="6"/>
  <c r="N6" i="6"/>
  <c r="K6" i="6"/>
  <c r="J6" i="6"/>
  <c r="I6" i="6"/>
  <c r="H6" i="6"/>
  <c r="G6" i="6"/>
  <c r="F6" i="6"/>
  <c r="E6" i="6"/>
  <c r="D6" i="6"/>
  <c r="D68" i="4"/>
  <c r="C68" i="4"/>
  <c r="D67" i="4"/>
  <c r="C67" i="4"/>
  <c r="D66" i="4"/>
  <c r="C66" i="4"/>
  <c r="D65" i="4"/>
  <c r="C65" i="4"/>
  <c r="D62" i="4"/>
  <c r="C62" i="4"/>
  <c r="D61" i="4"/>
  <c r="C61" i="4"/>
  <c r="D60" i="4"/>
  <c r="C60" i="4"/>
  <c r="D59" i="4"/>
  <c r="C59" i="4"/>
  <c r="D58" i="4"/>
  <c r="C58" i="4"/>
  <c r="D55" i="4"/>
  <c r="C55" i="4"/>
  <c r="D54" i="4"/>
  <c r="C54" i="4"/>
  <c r="D53" i="4"/>
  <c r="C53" i="4"/>
  <c r="D52" i="4"/>
  <c r="C52" i="4"/>
  <c r="D44" i="4"/>
  <c r="D43" i="4"/>
  <c r="D42" i="4"/>
  <c r="D41" i="4"/>
  <c r="C44" i="4"/>
  <c r="C43" i="4"/>
  <c r="C42" i="4"/>
  <c r="C41" i="4"/>
  <c r="D38" i="4"/>
  <c r="C38" i="4"/>
  <c r="D37" i="4"/>
  <c r="C37" i="4"/>
  <c r="D36" i="4"/>
  <c r="C36" i="4"/>
  <c r="D35" i="4"/>
  <c r="C35" i="4"/>
  <c r="D34" i="4"/>
  <c r="C34" i="4"/>
  <c r="D31" i="4"/>
  <c r="D30" i="4"/>
  <c r="C31" i="4"/>
  <c r="C30" i="4"/>
  <c r="D29" i="4"/>
  <c r="C29" i="4"/>
  <c r="D28" i="4"/>
  <c r="C28" i="4"/>
  <c r="D20" i="4"/>
  <c r="D19" i="4"/>
  <c r="D18" i="4"/>
  <c r="C20" i="4"/>
  <c r="C19" i="4"/>
  <c r="C18" i="4"/>
  <c r="D17" i="4"/>
  <c r="C17" i="4"/>
  <c r="D14" i="4"/>
  <c r="C14" i="4"/>
  <c r="D13" i="4"/>
  <c r="C13" i="4"/>
  <c r="D12" i="4"/>
  <c r="C12" i="4"/>
  <c r="D11" i="4"/>
  <c r="C11" i="4"/>
  <c r="D10" i="4"/>
  <c r="C10" i="4"/>
  <c r="D7" i="4"/>
  <c r="D6" i="4"/>
  <c r="D5" i="4"/>
  <c r="C7" i="4"/>
  <c r="C6" i="4"/>
  <c r="C5" i="4"/>
  <c r="D4" i="4"/>
  <c r="C4" i="4"/>
  <c r="I36" i="11" l="1"/>
  <c r="J31" i="11"/>
  <c r="I21" i="6"/>
  <c r="K32" i="6"/>
  <c r="K21" i="6"/>
  <c r="J21" i="6"/>
  <c r="F31" i="6"/>
  <c r="I31" i="6"/>
  <c r="I36" i="6" s="1"/>
  <c r="J36" i="11" l="1"/>
  <c r="K31" i="11"/>
  <c r="K36" i="11" s="1"/>
  <c r="J31" i="6"/>
  <c r="K40" i="11" l="1"/>
  <c r="D40" i="11" s="1"/>
  <c r="N12" i="11"/>
  <c r="O12" i="11" s="1"/>
  <c r="J36" i="6"/>
  <c r="K31" i="6"/>
  <c r="K36" i="6" s="1"/>
  <c r="J40" i="11" l="1"/>
  <c r="I40" i="11"/>
  <c r="D24" i="11" s="1"/>
  <c r="A24" i="11" s="1"/>
  <c r="K40" i="6"/>
  <c r="D40" i="6" s="1"/>
  <c r="N12" i="6"/>
  <c r="O12" i="6" s="1"/>
  <c r="I24" i="11" l="1"/>
  <c r="I26" i="11" s="1"/>
  <c r="I28" i="11" s="1"/>
  <c r="I38" i="11" s="1"/>
  <c r="J40" i="6"/>
  <c r="I40" i="6"/>
  <c r="D24" i="6" s="1"/>
  <c r="A24" i="6" s="1"/>
  <c r="J24" i="11" l="1"/>
  <c r="I24" i="6"/>
  <c r="I26" i="6" s="1"/>
  <c r="I28" i="6" s="1"/>
  <c r="I38" i="6" s="1"/>
  <c r="J26" i="11" l="1"/>
  <c r="J28" i="11" s="1"/>
  <c r="K24" i="11"/>
  <c r="K26" i="11" s="1"/>
  <c r="K28" i="11" s="1"/>
  <c r="K38" i="11" s="1"/>
  <c r="K41" i="11" s="1"/>
  <c r="D41" i="11" s="1"/>
  <c r="J24" i="6"/>
  <c r="N11" i="11" l="1"/>
  <c r="J38" i="11"/>
  <c r="N34" i="11" s="1"/>
  <c r="O34" i="11" s="1"/>
  <c r="J41" i="11"/>
  <c r="I41" i="11"/>
  <c r="J26" i="6"/>
  <c r="J28" i="6" s="1"/>
  <c r="K24" i="6"/>
  <c r="K26" i="6" s="1"/>
  <c r="K28" i="6" s="1"/>
  <c r="K38" i="6" s="1"/>
  <c r="K41" i="6" s="1"/>
  <c r="D41" i="6" s="1"/>
  <c r="O11" i="11" l="1"/>
  <c r="N13" i="11"/>
  <c r="O13" i="11" s="1"/>
  <c r="J41" i="6"/>
  <c r="I41" i="6"/>
  <c r="N11" i="6"/>
  <c r="J38" i="6"/>
  <c r="N34" i="6" s="1"/>
  <c r="O34" i="6" s="1"/>
  <c r="O11" i="6" l="1"/>
  <c r="N13" i="6"/>
  <c r="O13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John-Kristian</author>
  </authors>
  <commentList>
    <comment ref="F31" authorId="0" shapeId="0" xr:uid="{D10C7DAA-FA00-47F4-8D8F-A7F33AEC103E}">
      <text>
        <r>
          <rPr>
            <b/>
            <sz val="9"/>
            <color indexed="81"/>
            <rFont val="Tahoma"/>
            <family val="2"/>
          </rPr>
          <t>John-Kristian:</t>
        </r>
        <r>
          <rPr>
            <sz val="9"/>
            <color indexed="81"/>
            <rFont val="Tahoma"/>
            <family val="2"/>
          </rPr>
          <t xml:space="preserve">
Brukes til utregning av elevsamtaler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John-Kristian</author>
  </authors>
  <commentList>
    <comment ref="F31" authorId="0" shapeId="0" xr:uid="{7D0C78EB-A427-46B3-9984-D516B3958BB7}">
      <text>
        <r>
          <rPr>
            <b/>
            <sz val="9"/>
            <color indexed="81"/>
            <rFont val="Tahoma"/>
            <family val="2"/>
          </rPr>
          <t>John-Kristian:</t>
        </r>
        <r>
          <rPr>
            <sz val="9"/>
            <color indexed="81"/>
            <rFont val="Tahoma"/>
            <family val="2"/>
          </rPr>
          <t xml:space="preserve">
Brukes til utregning av elevsamtaler
</t>
        </r>
      </text>
    </comment>
  </commentList>
</comments>
</file>

<file path=xl/sharedStrings.xml><?xml version="1.0" encoding="utf-8"?>
<sst xmlns="http://schemas.openxmlformats.org/spreadsheetml/2006/main" count="318" uniqueCount="111">
  <si>
    <t>8A</t>
  </si>
  <si>
    <t>8B</t>
  </si>
  <si>
    <t>8C</t>
  </si>
  <si>
    <t>8D</t>
  </si>
  <si>
    <t>Engelsk</t>
  </si>
  <si>
    <t>Norsk</t>
  </si>
  <si>
    <t>Matematikk</t>
  </si>
  <si>
    <t>Naturfag</t>
  </si>
  <si>
    <t>Samfunnsfag</t>
  </si>
  <si>
    <t>KRLE</t>
  </si>
  <si>
    <t>Kroppsøving</t>
  </si>
  <si>
    <t>Valgfag</t>
  </si>
  <si>
    <t>Fremmedspråk</t>
  </si>
  <si>
    <t>UTV</t>
  </si>
  <si>
    <t>SNO</t>
  </si>
  <si>
    <t>Spesialundervisning</t>
  </si>
  <si>
    <t>Mat og helse</t>
  </si>
  <si>
    <t>Kunst og håndverk</t>
  </si>
  <si>
    <t>Musikk</t>
  </si>
  <si>
    <t>NAVN:</t>
  </si>
  <si>
    <t>Beatrice</t>
  </si>
  <si>
    <t>STILLINGSSTØRRELSE:</t>
  </si>
  <si>
    <t>STILLING</t>
  </si>
  <si>
    <t>Fast</t>
  </si>
  <si>
    <t>STILLINGSTYPE:</t>
  </si>
  <si>
    <t>Kontaktlærer 3</t>
  </si>
  <si>
    <t>AVDELING</t>
  </si>
  <si>
    <t>Ordinær</t>
  </si>
  <si>
    <t>Undervisning</t>
  </si>
  <si>
    <t>Fellestid</t>
  </si>
  <si>
    <t>Fag</t>
  </si>
  <si>
    <t>Trinn</t>
  </si>
  <si>
    <t>Klasse</t>
  </si>
  <si>
    <t>Årstimer</t>
  </si>
  <si>
    <t>8.trinn</t>
  </si>
  <si>
    <t>9.trinn</t>
  </si>
  <si>
    <t>10.trinn</t>
  </si>
  <si>
    <t>Byomfattende</t>
  </si>
  <si>
    <t>Timer pr uke</t>
  </si>
  <si>
    <t>Prosent</t>
  </si>
  <si>
    <t>Pr. uke</t>
  </si>
  <si>
    <t>Årsverk timer</t>
  </si>
  <si>
    <t>Den 39. uke (planleggingsdager)</t>
  </si>
  <si>
    <t>Timer fordelt på 38 uker</t>
  </si>
  <si>
    <t>Egentid</t>
  </si>
  <si>
    <t>Fellestid på skolen inkludert undervisning</t>
  </si>
  <si>
    <t>Nedslag</t>
  </si>
  <si>
    <t>Fellestid på skolen utenom undervisning</t>
  </si>
  <si>
    <t>Teamsamarbeid</t>
  </si>
  <si>
    <t>Informasjon og kompetanseheving</t>
  </si>
  <si>
    <t>Foreldremøter</t>
  </si>
  <si>
    <t>Elevsamtaler</t>
  </si>
  <si>
    <t>Inspeksjon</t>
  </si>
  <si>
    <t>Fagsamarbeid</t>
  </si>
  <si>
    <t>Ball</t>
  </si>
  <si>
    <t>Sum undervisning</t>
  </si>
  <si>
    <t>Trinnfest</t>
  </si>
  <si>
    <t>YOU-prosjekt</t>
  </si>
  <si>
    <t>Styrking</t>
  </si>
  <si>
    <t>Møter med ledelsen</t>
  </si>
  <si>
    <t>Medarbeidersamtaler</t>
  </si>
  <si>
    <t>Spisepause</t>
  </si>
  <si>
    <t>Sum styrking</t>
  </si>
  <si>
    <t>Annerledesdager</t>
  </si>
  <si>
    <t>Oppmøte 15 min før første undervisning</t>
  </si>
  <si>
    <t>Sum undervisning og styrking</t>
  </si>
  <si>
    <t>Hjelp</t>
  </si>
  <si>
    <t>Teamleder</t>
  </si>
  <si>
    <t>Til disposisjon</t>
  </si>
  <si>
    <t>Sum nedslag</t>
  </si>
  <si>
    <t>Bruk av resttimer avtales med rektor.</t>
  </si>
  <si>
    <t>Sum undervisning + nedslag</t>
  </si>
  <si>
    <t>Merknad:</t>
  </si>
  <si>
    <t>Til gode (styrking)</t>
  </si>
  <si>
    <t>Til gode</t>
  </si>
  <si>
    <t>Haidar</t>
  </si>
  <si>
    <t>9A</t>
  </si>
  <si>
    <t>9B</t>
  </si>
  <si>
    <t>9C</t>
  </si>
  <si>
    <t>9D</t>
  </si>
  <si>
    <t>9. trinn</t>
  </si>
  <si>
    <t>10. trinn</t>
  </si>
  <si>
    <t>10A</t>
  </si>
  <si>
    <t>10B</t>
  </si>
  <si>
    <t>10C</t>
  </si>
  <si>
    <t>10D</t>
  </si>
  <si>
    <t>Teknologi</t>
  </si>
  <si>
    <t>Prod. av varer og tj.</t>
  </si>
  <si>
    <t>Sal og scene</t>
  </si>
  <si>
    <t>Salg og scene</t>
  </si>
  <si>
    <t>Fysisk</t>
  </si>
  <si>
    <t>Tysk</t>
  </si>
  <si>
    <t>Fransk</t>
  </si>
  <si>
    <t xml:space="preserve">Eng. ford. </t>
  </si>
  <si>
    <t>Norsk ford.</t>
  </si>
  <si>
    <t>8. trinn</t>
  </si>
  <si>
    <t>Kontaktlærere</t>
  </si>
  <si>
    <t xml:space="preserve">Prod. av varer og tj. </t>
  </si>
  <si>
    <t>Innsats for andre</t>
  </si>
  <si>
    <t xml:space="preserve">Norsk ford. </t>
  </si>
  <si>
    <t>Test</t>
  </si>
  <si>
    <t>Ansatte</t>
  </si>
  <si>
    <t>Fyll inn klasser til venstre</t>
  </si>
  <si>
    <t>Fyll inn fag over</t>
  </si>
  <si>
    <t>Røde ruta må stå tom. Kan sette inn andre klasser innenfor den rød ruta og "8. trinn"</t>
  </si>
  <si>
    <t>Siste celle</t>
  </si>
  <si>
    <t>Røde ruta må stå tom. Kan sette inn andre fag til venstre for den rød ruta</t>
  </si>
  <si>
    <t xml:space="preserve">Haidar </t>
  </si>
  <si>
    <t>Robert</t>
  </si>
  <si>
    <t>Språkfag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</si>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</sst>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\ 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rgb="FF333333"/>
      <name val="Trebuchet MS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8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1" xfId="2" applyBorder="1"/>
    <xf numFmtId="9" fontId="6" fillId="2" borderId="1" xfId="1" applyFont="1" applyFill="1" applyBorder="1" applyAlignment="1" applyProtection="1">
      <alignment horizontal="left"/>
      <protection locked="0"/>
    </xf>
    <xf numFmtId="0" fontId="2" fillId="0" borderId="1" xfId="0" applyFont="1" applyBorder="1"/>
    <xf numFmtId="0" fontId="0" fillId="2" borderId="1" xfId="0" applyFill="1" applyBorder="1"/>
    <xf numFmtId="2" fontId="7" fillId="0" borderId="0" xfId="0" applyNumberFormat="1" applyFont="1"/>
    <xf numFmtId="0" fontId="7" fillId="0" borderId="0" xfId="0" applyFont="1"/>
    <xf numFmtId="0" fontId="7" fillId="2" borderId="1" xfId="0" applyFont="1" applyFill="1" applyBorder="1" applyProtection="1">
      <protection locked="0"/>
    </xf>
    <xf numFmtId="10" fontId="7" fillId="0" borderId="0" xfId="0" applyNumberFormat="1" applyFont="1"/>
    <xf numFmtId="0" fontId="6" fillId="0" borderId="0" xfId="0" applyFont="1"/>
    <xf numFmtId="2" fontId="6" fillId="0" borderId="0" xfId="0" applyNumberFormat="1" applyFont="1"/>
    <xf numFmtId="10" fontId="6" fillId="0" borderId="0" xfId="0" applyNumberFormat="1" applyFont="1"/>
    <xf numFmtId="10" fontId="2" fillId="0" borderId="1" xfId="0" applyNumberFormat="1" applyFont="1" applyBorder="1"/>
    <xf numFmtId="0" fontId="8" fillId="0" borderId="1" xfId="0" applyFont="1" applyBorder="1" applyAlignment="1">
      <alignment horizontal="left"/>
    </xf>
    <xf numFmtId="9" fontId="8" fillId="0" borderId="1" xfId="0" applyNumberFormat="1" applyFont="1" applyBorder="1"/>
    <xf numFmtId="0" fontId="0" fillId="2" borderId="1" xfId="0" applyFill="1" applyBorder="1" applyProtection="1">
      <protection locked="0"/>
    </xf>
    <xf numFmtId="1" fontId="7" fillId="0" borderId="1" xfId="0" applyNumberFormat="1" applyFont="1" applyBorder="1"/>
    <xf numFmtId="0" fontId="0" fillId="0" borderId="1" xfId="0" applyBorder="1"/>
    <xf numFmtId="10" fontId="0" fillId="0" borderId="1" xfId="1" applyNumberFormat="1" applyFont="1" applyBorder="1"/>
    <xf numFmtId="0" fontId="9" fillId="3" borderId="1" xfId="0" applyFont="1" applyFill="1" applyBorder="1" applyAlignment="1">
      <alignment horizontal="left"/>
    </xf>
    <xf numFmtId="164" fontId="9" fillId="3" borderId="1" xfId="0" applyNumberFormat="1" applyFont="1" applyFill="1" applyBorder="1"/>
    <xf numFmtId="10" fontId="0" fillId="0" borderId="0" xfId="0" applyNumberFormat="1"/>
    <xf numFmtId="9" fontId="0" fillId="0" borderId="0" xfId="1" applyFont="1"/>
    <xf numFmtId="0" fontId="9" fillId="0" borderId="1" xfId="0" applyFont="1" applyBorder="1" applyAlignment="1">
      <alignment horizontal="left"/>
    </xf>
    <xf numFmtId="0" fontId="9" fillId="0" borderId="1" xfId="0" applyFont="1" applyBorder="1"/>
    <xf numFmtId="164" fontId="9" fillId="0" borderId="1" xfId="0" applyNumberFormat="1" applyFont="1" applyBorder="1"/>
    <xf numFmtId="0" fontId="9" fillId="4" borderId="1" xfId="0" applyFont="1" applyFill="1" applyBorder="1" applyAlignment="1">
      <alignment horizontal="left"/>
    </xf>
    <xf numFmtId="2" fontId="9" fillId="4" borderId="1" xfId="0" applyNumberFormat="1" applyFont="1" applyFill="1" applyBorder="1"/>
    <xf numFmtId="0" fontId="9" fillId="0" borderId="2" xfId="0" applyFont="1" applyBorder="1" applyAlignment="1">
      <alignment horizontal="left"/>
    </xf>
    <xf numFmtId="1" fontId="9" fillId="5" borderId="1" xfId="0" applyNumberFormat="1" applyFont="1" applyFill="1" applyBorder="1"/>
    <xf numFmtId="0" fontId="9" fillId="3" borderId="2" xfId="0" applyFont="1" applyFill="1" applyBorder="1" applyAlignment="1">
      <alignment horizontal="left"/>
    </xf>
    <xf numFmtId="2" fontId="9" fillId="3" borderId="1" xfId="0" applyNumberFormat="1" applyFont="1" applyFill="1" applyBorder="1"/>
    <xf numFmtId="0" fontId="9" fillId="2" borderId="1" xfId="0" applyFont="1" applyFill="1" applyBorder="1" applyAlignment="1" applyProtection="1">
      <alignment horizontal="left"/>
      <protection locked="0"/>
    </xf>
    <xf numFmtId="1" fontId="9" fillId="0" borderId="1" xfId="0" applyNumberFormat="1" applyFont="1" applyBorder="1"/>
    <xf numFmtId="2" fontId="9" fillId="0" borderId="1" xfId="0" applyNumberFormat="1" applyFont="1" applyBorder="1"/>
    <xf numFmtId="1" fontId="7" fillId="0" borderId="0" xfId="0" applyNumberFormat="1" applyFont="1"/>
    <xf numFmtId="2" fontId="0" fillId="0" borderId="0" xfId="0" applyNumberFormat="1"/>
    <xf numFmtId="10" fontId="0" fillId="0" borderId="0" xfId="1" applyNumberFormat="1" applyFont="1"/>
    <xf numFmtId="0" fontId="0" fillId="6" borderId="1" xfId="0" applyFill="1" applyBorder="1"/>
    <xf numFmtId="2" fontId="0" fillId="0" borderId="1" xfId="0" applyNumberFormat="1" applyBorder="1"/>
    <xf numFmtId="10" fontId="0" fillId="7" borderId="1" xfId="1" applyNumberFormat="1" applyFont="1" applyFill="1" applyBorder="1"/>
    <xf numFmtId="0" fontId="2" fillId="0" borderId="2" xfId="0" applyFont="1" applyBorder="1"/>
    <xf numFmtId="0" fontId="0" fillId="0" borderId="3" xfId="0" applyBorder="1"/>
    <xf numFmtId="1" fontId="7" fillId="0" borderId="3" xfId="0" applyNumberFormat="1" applyFont="1" applyBorder="1"/>
    <xf numFmtId="2" fontId="0" fillId="0" borderId="4" xfId="0" applyNumberFormat="1" applyBorder="1"/>
    <xf numFmtId="10" fontId="0" fillId="0" borderId="4" xfId="1" applyNumberFormat="1" applyFont="1" applyBorder="1"/>
    <xf numFmtId="2" fontId="7" fillId="0" borderId="3" xfId="0" applyNumberFormat="1" applyFont="1" applyBorder="1"/>
    <xf numFmtId="0" fontId="0" fillId="0" borderId="4" xfId="0" applyBorder="1"/>
    <xf numFmtId="0" fontId="0" fillId="2" borderId="1" xfId="0" applyFill="1" applyBorder="1" applyAlignment="1" applyProtection="1">
      <alignment horizontal="center"/>
      <protection locked="0"/>
    </xf>
    <xf numFmtId="2" fontId="7" fillId="0" borderId="1" xfId="0" applyNumberFormat="1" applyFont="1" applyBorder="1"/>
    <xf numFmtId="10" fontId="0" fillId="0" borderId="1" xfId="0" applyNumberFormat="1" applyBorder="1"/>
    <xf numFmtId="0" fontId="0" fillId="8" borderId="1" xfId="0" applyFill="1" applyBorder="1" applyAlignment="1" applyProtection="1">
      <alignment horizontal="center"/>
      <protection locked="0"/>
    </xf>
    <xf numFmtId="0" fontId="2" fillId="0" borderId="3" xfId="0" applyFont="1" applyBorder="1"/>
    <xf numFmtId="2" fontId="0" fillId="0" borderId="3" xfId="0" applyNumberFormat="1" applyBorder="1"/>
    <xf numFmtId="10" fontId="0" fillId="0" borderId="3" xfId="0" applyNumberFormat="1" applyBorder="1"/>
    <xf numFmtId="0" fontId="10" fillId="0" borderId="0" xfId="0" applyFont="1"/>
    <xf numFmtId="0" fontId="2" fillId="0" borderId="5" xfId="0" applyFont="1" applyBorder="1"/>
    <xf numFmtId="0" fontId="0" fillId="0" borderId="5" xfId="0" applyBorder="1"/>
    <xf numFmtId="2" fontId="0" fillId="0" borderId="5" xfId="0" applyNumberFormat="1" applyBorder="1"/>
    <xf numFmtId="10" fontId="0" fillId="0" borderId="5" xfId="0" applyNumberFormat="1" applyBorder="1"/>
    <xf numFmtId="0" fontId="2" fillId="0" borderId="6" xfId="0" applyFont="1" applyBorder="1"/>
    <xf numFmtId="2" fontId="2" fillId="0" borderId="6" xfId="0" applyNumberFormat="1" applyFont="1" applyBorder="1"/>
    <xf numFmtId="165" fontId="2" fillId="0" borderId="6" xfId="1" applyNumberFormat="1" applyFont="1" applyBorder="1"/>
    <xf numFmtId="0" fontId="13" fillId="0" borderId="0" xfId="0" applyFont="1"/>
    <xf numFmtId="0" fontId="2" fillId="0" borderId="7" xfId="0" applyFon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4" fillId="0" borderId="0" xfId="0" applyFont="1"/>
    <xf numFmtId="0" fontId="3" fillId="0" borderId="0" xfId="0" applyFont="1" applyFill="1"/>
    <xf numFmtId="0" fontId="4" fillId="9" borderId="0" xfId="0" applyFont="1" applyFill="1"/>
    <xf numFmtId="0" fontId="16" fillId="0" borderId="0" xfId="0" applyFont="1"/>
    <xf numFmtId="0" fontId="16" fillId="10" borderId="0" xfId="0" applyFont="1" applyFill="1"/>
    <xf numFmtId="0" fontId="6" fillId="2" borderId="1" xfId="0" applyFont="1" applyFill="1" applyBorder="1" applyAlignment="1" applyProtection="1">
      <alignment horizontal="left"/>
      <protection locked="0"/>
    </xf>
    <xf numFmtId="2" fontId="6" fillId="0" borderId="1" xfId="0" applyNumberFormat="1" applyFont="1" applyBorder="1" applyAlignment="1">
      <alignment horizontal="right"/>
    </xf>
    <xf numFmtId="0" fontId="0" fillId="0" borderId="0" xfId="0" applyAlignment="1">
      <alignment horizontal="center"/>
    </xf>
  </cellXfs>
  <cellStyles count="3">
    <cellStyle name="Hyperkobling" xfId="2" builtinId="8"/>
    <cellStyle name="Normal" xfId="0" builtinId="0"/>
    <cellStyle name="Prosent" xfId="1" builtinId="5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752475</xdr:colOff>
          <xdr:row>0</xdr:row>
          <xdr:rowOff>171450</xdr:rowOff>
        </xdr:from>
        <xdr:to>
          <xdr:col>5</xdr:col>
          <xdr:colOff>514350</xdr:colOff>
          <xdr:row>4</xdr:row>
          <xdr:rowOff>19050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Lage Stillingsbeskrivelser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695325</xdr:colOff>
          <xdr:row>3</xdr:row>
          <xdr:rowOff>161925</xdr:rowOff>
        </xdr:from>
        <xdr:to>
          <xdr:col>9</xdr:col>
          <xdr:colOff>76200</xdr:colOff>
          <xdr:row>6</xdr:row>
          <xdr:rowOff>142875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Kjør utregning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790575</xdr:colOff>
          <xdr:row>7</xdr:row>
          <xdr:rowOff>104775</xdr:rowOff>
        </xdr:from>
        <xdr:to>
          <xdr:col>9</xdr:col>
          <xdr:colOff>38100</xdr:colOff>
          <xdr:row>10</xdr:row>
          <xdr:rowOff>19050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Restarte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deoslokommuneno-my.sharepoint.com/personal/hanua005_osloskolen_no/Documents/MacroGreier/Arbeidstidavtale%202020-2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llgrunnlag"/>
      <sheetName val="Ansatte"/>
      <sheetName val="Elever"/>
      <sheetName val="Stillingsprosent"/>
      <sheetName val="MAL"/>
      <sheetName val="Wioletta"/>
      <sheetName val="Marita"/>
      <sheetName val="Benedicte"/>
      <sheetName val="Håkon"/>
      <sheetName val="Eirin"/>
      <sheetName val="Peter"/>
      <sheetName val="AC"/>
      <sheetName val="Hanne"/>
      <sheetName val="Gina"/>
      <sheetName val="Eivind"/>
      <sheetName val="Anna"/>
      <sheetName val="Helsho"/>
      <sheetName val="Halvor"/>
      <sheetName val="Rizwan"/>
      <sheetName val="Elise"/>
      <sheetName val="Janne"/>
      <sheetName val="Elin"/>
      <sheetName val="Sara"/>
      <sheetName val="Anum"/>
      <sheetName val="Pål"/>
      <sheetName val="Nicholas"/>
      <sheetName val="Lena"/>
      <sheetName val="Christopher"/>
      <sheetName val="Stine"/>
      <sheetName val="Henning"/>
      <sheetName val="Ingrid"/>
      <sheetName val="Jana"/>
      <sheetName val="Asbjørn"/>
      <sheetName val="Anne"/>
      <sheetName val="Henriette"/>
      <sheetName val="Sigmund"/>
      <sheetName val="Steinar"/>
      <sheetName val="Silje"/>
      <sheetName val="Ida"/>
      <sheetName val="Christine"/>
      <sheetName val="Beatrice"/>
      <sheetName val="Thina"/>
      <sheetName val="Tuva"/>
      <sheetName val="Gerd"/>
    </sheetNames>
    <sheetDataSet>
      <sheetData sheetId="0">
        <row r="3">
          <cell r="A3" t="str">
            <v>Norsk</v>
          </cell>
          <cell r="B3">
            <v>606</v>
          </cell>
          <cell r="D3">
            <v>3.33</v>
          </cell>
          <cell r="E3">
            <v>3.33</v>
          </cell>
          <cell r="F3">
            <v>3.33</v>
          </cell>
        </row>
        <row r="4">
          <cell r="A4" t="str">
            <v>Engelsk</v>
          </cell>
          <cell r="B4">
            <v>635</v>
          </cell>
          <cell r="D4">
            <v>2</v>
          </cell>
          <cell r="E4">
            <v>2</v>
          </cell>
          <cell r="F4">
            <v>2</v>
          </cell>
        </row>
        <row r="5">
          <cell r="A5" t="str">
            <v>Mat &amp; Helse</v>
          </cell>
          <cell r="B5">
            <v>635</v>
          </cell>
          <cell r="D5">
            <v>0.67</v>
          </cell>
          <cell r="E5">
            <v>0.67</v>
          </cell>
          <cell r="F5">
            <v>0.67</v>
          </cell>
        </row>
        <row r="6">
          <cell r="A6" t="str">
            <v>Kroppsøving</v>
          </cell>
          <cell r="B6">
            <v>711</v>
          </cell>
          <cell r="D6">
            <v>2</v>
          </cell>
          <cell r="E6">
            <v>2</v>
          </cell>
          <cell r="F6">
            <v>2</v>
          </cell>
        </row>
        <row r="7">
          <cell r="A7" t="str">
            <v>Kunst &amp; Håndverk</v>
          </cell>
          <cell r="B7">
            <v>711</v>
          </cell>
          <cell r="D7">
            <v>1.33</v>
          </cell>
          <cell r="E7">
            <v>1.33</v>
          </cell>
          <cell r="F7">
            <v>1.33</v>
          </cell>
        </row>
        <row r="8">
          <cell r="A8" t="str">
            <v>Matematikk</v>
          </cell>
          <cell r="B8">
            <v>664</v>
          </cell>
          <cell r="D8">
            <v>2.67</v>
          </cell>
          <cell r="E8">
            <v>2.67</v>
          </cell>
          <cell r="F8">
            <v>2.67</v>
          </cell>
        </row>
        <row r="9">
          <cell r="A9" t="str">
            <v>Musikk</v>
          </cell>
          <cell r="B9">
            <v>664</v>
          </cell>
          <cell r="D9">
            <v>0.67</v>
          </cell>
          <cell r="E9">
            <v>0.67</v>
          </cell>
          <cell r="F9">
            <v>0.67</v>
          </cell>
        </row>
        <row r="10">
          <cell r="A10" t="str">
            <v>Samfunnsfag</v>
          </cell>
          <cell r="B10">
            <v>664</v>
          </cell>
          <cell r="D10">
            <v>2.33</v>
          </cell>
          <cell r="E10">
            <v>2.33</v>
          </cell>
          <cell r="F10">
            <v>2.33</v>
          </cell>
        </row>
        <row r="11">
          <cell r="A11" t="str">
            <v>Naturfag</v>
          </cell>
          <cell r="B11">
            <v>664</v>
          </cell>
          <cell r="D11">
            <v>2.33</v>
          </cell>
          <cell r="E11">
            <v>2.33</v>
          </cell>
          <cell r="F11">
            <v>2.33</v>
          </cell>
        </row>
        <row r="12">
          <cell r="A12" t="str">
            <v>Språkfag</v>
          </cell>
          <cell r="B12">
            <v>664</v>
          </cell>
          <cell r="D12">
            <v>2</v>
          </cell>
          <cell r="E12">
            <v>2</v>
          </cell>
          <cell r="F12">
            <v>2</v>
          </cell>
        </row>
        <row r="13">
          <cell r="A13" t="str">
            <v>KRLE</v>
          </cell>
          <cell r="B13">
            <v>664</v>
          </cell>
          <cell r="D13">
            <v>1.33</v>
          </cell>
          <cell r="E13">
            <v>1.33</v>
          </cell>
          <cell r="F13">
            <v>1.33</v>
          </cell>
        </row>
        <row r="14">
          <cell r="A14" t="str">
            <v>Utdanningsvalg</v>
          </cell>
          <cell r="B14">
            <v>664</v>
          </cell>
          <cell r="D14">
            <v>0.5</v>
          </cell>
          <cell r="E14">
            <v>0.5</v>
          </cell>
          <cell r="F14">
            <v>0.5</v>
          </cell>
        </row>
        <row r="15">
          <cell r="A15" t="str">
            <v>Valgfag (Sal &amp; scene)</v>
          </cell>
          <cell r="B15">
            <v>664</v>
          </cell>
          <cell r="D15">
            <v>1.33</v>
          </cell>
          <cell r="E15">
            <v>1.33</v>
          </cell>
          <cell r="F15">
            <v>1.33</v>
          </cell>
        </row>
        <row r="16">
          <cell r="A16" t="str">
            <v>Valgfag (Kantinedrift)</v>
          </cell>
          <cell r="B16">
            <v>664</v>
          </cell>
          <cell r="D16">
            <v>1.33</v>
          </cell>
          <cell r="E16">
            <v>1.33</v>
          </cell>
          <cell r="F16">
            <v>1.33</v>
          </cell>
        </row>
        <row r="17">
          <cell r="A17" t="str">
            <v>Valgfag (Medier &amp; informasjon)</v>
          </cell>
          <cell r="B17">
            <v>664</v>
          </cell>
          <cell r="D17">
            <v>1.33</v>
          </cell>
          <cell r="E17">
            <v>1.33</v>
          </cell>
          <cell r="F17">
            <v>1.33</v>
          </cell>
        </row>
        <row r="18">
          <cell r="A18" t="str">
            <v>Valgfag (Teknologi i praksis)</v>
          </cell>
          <cell r="B18">
            <v>664</v>
          </cell>
          <cell r="D18">
            <v>1.33</v>
          </cell>
          <cell r="E18">
            <v>1.33</v>
          </cell>
          <cell r="F18">
            <v>1.33</v>
          </cell>
        </row>
        <row r="19">
          <cell r="A19" t="str">
            <v>Valgfag (Innsats for andre)</v>
          </cell>
          <cell r="B19">
            <v>664</v>
          </cell>
          <cell r="D19">
            <v>1.33</v>
          </cell>
          <cell r="E19">
            <v>1.33</v>
          </cell>
          <cell r="F19">
            <v>1.33</v>
          </cell>
        </row>
        <row r="20">
          <cell r="A20" t="str">
            <v>Valgfag (Fysisk aktivitet og helse)</v>
          </cell>
          <cell r="B20">
            <v>664</v>
          </cell>
          <cell r="D20">
            <v>1.33</v>
          </cell>
          <cell r="E20">
            <v>1.33</v>
          </cell>
          <cell r="F20">
            <v>1.33</v>
          </cell>
        </row>
        <row r="21">
          <cell r="A21" t="str">
            <v>Valgfag (Design og redesign)</v>
          </cell>
          <cell r="B21">
            <v>664</v>
          </cell>
          <cell r="D21">
            <v>1.33</v>
          </cell>
          <cell r="E21">
            <v>1.33</v>
          </cell>
          <cell r="F21">
            <v>1.33</v>
          </cell>
        </row>
        <row r="22">
          <cell r="A22" t="str">
            <v>Byomfattende</v>
          </cell>
          <cell r="B22">
            <v>664</v>
          </cell>
          <cell r="C22">
            <v>49.41</v>
          </cell>
          <cell r="D22">
            <v>16.47</v>
          </cell>
          <cell r="E22">
            <v>16.47</v>
          </cell>
          <cell r="F22">
            <v>16.47</v>
          </cell>
        </row>
        <row r="23">
          <cell r="A23" t="str">
            <v>Leksehjelp</v>
          </cell>
          <cell r="B23">
            <v>664</v>
          </cell>
          <cell r="D23">
            <v>1</v>
          </cell>
          <cell r="E23">
            <v>1</v>
          </cell>
          <cell r="F23">
            <v>1</v>
          </cell>
        </row>
        <row r="24">
          <cell r="A24" t="str">
            <v>Matematikk 7.trinn</v>
          </cell>
          <cell r="B24">
            <v>664</v>
          </cell>
          <cell r="D24">
            <v>2</v>
          </cell>
          <cell r="E24">
            <v>2</v>
          </cell>
          <cell r="F24">
            <v>2</v>
          </cell>
        </row>
        <row r="25">
          <cell r="A25" t="str">
            <v>Særskilt norsk</v>
          </cell>
          <cell r="B25">
            <v>664</v>
          </cell>
          <cell r="D25">
            <v>3</v>
          </cell>
          <cell r="E25">
            <v>3</v>
          </cell>
          <cell r="F25">
            <v>2</v>
          </cell>
        </row>
        <row r="26">
          <cell r="A26" t="str">
            <v>Mat &amp; Helse (Byomfattende)</v>
          </cell>
          <cell r="B26">
            <v>664</v>
          </cell>
          <cell r="D26">
            <v>1.5</v>
          </cell>
          <cell r="E26">
            <v>1.5</v>
          </cell>
          <cell r="F26">
            <v>1.5</v>
          </cell>
        </row>
        <row r="27">
          <cell r="A27" t="str">
            <v>Musikk (Byomfattende)</v>
          </cell>
          <cell r="B27">
            <v>664</v>
          </cell>
          <cell r="D27">
            <v>1</v>
          </cell>
          <cell r="E27">
            <v>1</v>
          </cell>
          <cell r="F27">
            <v>1</v>
          </cell>
        </row>
        <row r="28">
          <cell r="A28" t="str">
            <v>Kunst &amp; Håndverk (Byomfattende)</v>
          </cell>
          <cell r="B28">
            <v>664</v>
          </cell>
          <cell r="D28">
            <v>2</v>
          </cell>
          <cell r="E28">
            <v>1</v>
          </cell>
          <cell r="F28">
            <v>1</v>
          </cell>
        </row>
        <row r="29">
          <cell r="A29" t="str">
            <v>Valgfag (Natur, miljø og friluftsliv)</v>
          </cell>
          <cell r="B29">
            <v>664</v>
          </cell>
          <cell r="D29">
            <v>1.33</v>
          </cell>
          <cell r="E29">
            <v>1.33</v>
          </cell>
          <cell r="F29">
            <v>1.33</v>
          </cell>
        </row>
        <row r="34">
          <cell r="A34" t="str">
            <v>Nyutdannet</v>
          </cell>
          <cell r="B34">
            <v>664</v>
          </cell>
          <cell r="C34">
            <v>1</v>
          </cell>
        </row>
        <row r="35">
          <cell r="A35" t="str">
            <v>Teamleder</v>
          </cell>
          <cell r="B35">
            <v>664</v>
          </cell>
          <cell r="C35">
            <v>1</v>
          </cell>
        </row>
        <row r="36">
          <cell r="A36" t="str">
            <v>Bibliotekar</v>
          </cell>
          <cell r="B36">
            <v>664</v>
          </cell>
          <cell r="C36">
            <v>8.7368421052631575</v>
          </cell>
        </row>
        <row r="37">
          <cell r="A37" t="str">
            <v>Tillitsvalgt</v>
          </cell>
          <cell r="B37">
            <v>664</v>
          </cell>
          <cell r="C37">
            <v>2</v>
          </cell>
        </row>
        <row r="38">
          <cell r="A38" t="str">
            <v>Senior 57+</v>
          </cell>
          <cell r="B38">
            <v>664</v>
          </cell>
          <cell r="C38">
            <v>1.0134736842105263</v>
          </cell>
        </row>
        <row r="39">
          <cell r="A39" t="str">
            <v>Senior 60+</v>
          </cell>
          <cell r="B39">
            <v>664</v>
          </cell>
          <cell r="C39">
            <v>2.1842105263157894</v>
          </cell>
        </row>
        <row r="40">
          <cell r="A40" t="str">
            <v>Senior 65+</v>
          </cell>
          <cell r="B40">
            <v>664</v>
          </cell>
          <cell r="C40">
            <v>2.6210526315789471</v>
          </cell>
        </row>
        <row r="41">
          <cell r="A41" t="str">
            <v>Fagkoordinator</v>
          </cell>
          <cell r="B41">
            <v>664</v>
          </cell>
          <cell r="C41">
            <v>1</v>
          </cell>
        </row>
        <row r="42">
          <cell r="A42" t="str">
            <v>Ressursgruppe</v>
          </cell>
          <cell r="B42">
            <v>664</v>
          </cell>
          <cell r="C42">
            <v>1</v>
          </cell>
        </row>
        <row r="43">
          <cell r="A43" t="str">
            <v>Sosialpedagogisk rådgiver</v>
          </cell>
          <cell r="B43">
            <v>664</v>
          </cell>
          <cell r="C43">
            <v>14.852631578947367</v>
          </cell>
        </row>
        <row r="44">
          <cell r="A44" t="str">
            <v>Kariereveileder</v>
          </cell>
          <cell r="B44">
            <v>664</v>
          </cell>
          <cell r="C44">
            <v>8.7368421052631575</v>
          </cell>
        </row>
        <row r="45">
          <cell r="A45" t="str">
            <v>Kontaktlærer 2</v>
          </cell>
          <cell r="B45">
            <v>664</v>
          </cell>
          <cell r="C45">
            <v>1</v>
          </cell>
        </row>
        <row r="46">
          <cell r="A46" t="str">
            <v>Sonefag + Valgfag</v>
          </cell>
          <cell r="B46">
            <v>664</v>
          </cell>
          <cell r="C46">
            <v>1</v>
          </cell>
        </row>
        <row r="47">
          <cell r="A47" t="str">
            <v>Kontaktlærer 3</v>
          </cell>
          <cell r="B47">
            <v>664</v>
          </cell>
          <cell r="C47">
            <v>1.33</v>
          </cell>
        </row>
        <row r="50">
          <cell r="B50">
            <v>1687.5</v>
          </cell>
        </row>
        <row r="51">
          <cell r="B51">
            <v>37.5</v>
          </cell>
        </row>
        <row r="52">
          <cell r="B52">
            <v>1650</v>
          </cell>
        </row>
        <row r="53">
          <cell r="B53">
            <v>462.5</v>
          </cell>
        </row>
        <row r="54">
          <cell r="B54">
            <v>1187.5</v>
          </cell>
        </row>
        <row r="58">
          <cell r="A58" t="str">
            <v>Teamsamarbeid</v>
          </cell>
          <cell r="B58">
            <v>38</v>
          </cell>
        </row>
        <row r="59">
          <cell r="A59" t="str">
            <v>Informasjon og kompetanseheving</v>
          </cell>
          <cell r="B59">
            <v>76</v>
          </cell>
        </row>
        <row r="60">
          <cell r="A60" t="str">
            <v>Foreldremøter</v>
          </cell>
          <cell r="B60">
            <v>6</v>
          </cell>
        </row>
        <row r="61">
          <cell r="A61" t="str">
            <v>Elevsamtaler</v>
          </cell>
          <cell r="B61">
            <v>76</v>
          </cell>
        </row>
        <row r="62">
          <cell r="A62" t="str">
            <v>Inspeksjon</v>
          </cell>
          <cell r="B62">
            <v>76</v>
          </cell>
        </row>
        <row r="63">
          <cell r="A63" t="str">
            <v>Fagsamarbeid</v>
          </cell>
          <cell r="B63">
            <v>38</v>
          </cell>
        </row>
        <row r="64">
          <cell r="A64" t="str">
            <v>Ball</v>
          </cell>
          <cell r="B64">
            <v>15</v>
          </cell>
        </row>
        <row r="65">
          <cell r="A65" t="str">
            <v>Trinnfest</v>
          </cell>
          <cell r="B65">
            <v>8</v>
          </cell>
        </row>
        <row r="66">
          <cell r="A66" t="str">
            <v>YOU-prosjekt</v>
          </cell>
          <cell r="B66">
            <v>6</v>
          </cell>
        </row>
        <row r="67">
          <cell r="A67" t="str">
            <v>Møter med ledelsen</v>
          </cell>
          <cell r="B67">
            <v>10</v>
          </cell>
        </row>
        <row r="68">
          <cell r="A68" t="str">
            <v>Medarbeidersamtaler</v>
          </cell>
          <cell r="B68">
            <v>2</v>
          </cell>
        </row>
        <row r="69">
          <cell r="A69" t="str">
            <v>Samtaler med foresatte (Byomfattende)</v>
          </cell>
          <cell r="B69">
            <v>20</v>
          </cell>
        </row>
        <row r="70">
          <cell r="A70" t="str">
            <v>Spisepause</v>
          </cell>
          <cell r="B70">
            <v>95</v>
          </cell>
        </row>
        <row r="71">
          <cell r="A71" t="str">
            <v>Oppmøte 15 min før første undervisning</v>
          </cell>
          <cell r="B71">
            <v>47.5</v>
          </cell>
        </row>
        <row r="72">
          <cell r="A72" t="str">
            <v>Annerledesdager</v>
          </cell>
          <cell r="B72">
            <v>30</v>
          </cell>
        </row>
        <row r="73">
          <cell r="A73" t="str">
            <v>Oppfølging elever (faglærer)</v>
          </cell>
          <cell r="B73">
            <v>30</v>
          </cell>
        </row>
        <row r="74">
          <cell r="A74" t="str">
            <v>Rådgivning</v>
          </cell>
          <cell r="B74">
            <v>250</v>
          </cell>
        </row>
        <row r="75">
          <cell r="A75"/>
          <cell r="B75"/>
        </row>
        <row r="76">
          <cell r="A76"/>
          <cell r="B76"/>
        </row>
        <row r="77">
          <cell r="A77"/>
          <cell r="B77"/>
        </row>
        <row r="78">
          <cell r="A78"/>
          <cell r="B78"/>
        </row>
        <row r="79">
          <cell r="A79"/>
          <cell r="B79"/>
        </row>
        <row r="80">
          <cell r="A80"/>
        </row>
        <row r="82">
          <cell r="A82"/>
          <cell r="B82"/>
        </row>
        <row r="87">
          <cell r="A87">
            <v>8</v>
          </cell>
          <cell r="B87" t="str">
            <v>A</v>
          </cell>
        </row>
        <row r="88">
          <cell r="A88">
            <v>9</v>
          </cell>
          <cell r="B88" t="str">
            <v>B</v>
          </cell>
        </row>
        <row r="89">
          <cell r="A89">
            <v>10</v>
          </cell>
          <cell r="B89" t="str">
            <v>C</v>
          </cell>
        </row>
        <row r="90">
          <cell r="B90" t="str">
            <v>D</v>
          </cell>
        </row>
        <row r="91">
          <cell r="B91" t="str">
            <v>E</v>
          </cell>
        </row>
        <row r="92">
          <cell r="B92" t="str">
            <v>A-E</v>
          </cell>
        </row>
        <row r="93">
          <cell r="B93" t="str">
            <v>A-D</v>
          </cell>
        </row>
        <row r="94">
          <cell r="B94" t="str">
            <v>Støtte</v>
          </cell>
        </row>
        <row r="95">
          <cell r="B95" t="str">
            <v>By</v>
          </cell>
        </row>
        <row r="98">
          <cell r="A98" t="str">
            <v>Kontaktlærer 2</v>
          </cell>
        </row>
        <row r="99">
          <cell r="A99" t="str">
            <v>Kontaktlærer 3</v>
          </cell>
        </row>
        <row r="100">
          <cell r="A100" t="str">
            <v>Faglærer</v>
          </cell>
        </row>
        <row r="101">
          <cell r="A101" t="str">
            <v>Assistent</v>
          </cell>
        </row>
        <row r="102">
          <cell r="A102" t="str">
            <v>Miljøarbeider</v>
          </cell>
        </row>
        <row r="103">
          <cell r="A103" t="str">
            <v>Karriereveileder/Faglærer</v>
          </cell>
        </row>
        <row r="104">
          <cell r="A104" t="str">
            <v>Sosialpedagogisk rådgiver/Faglærer</v>
          </cell>
        </row>
      </sheetData>
      <sheetData sheetId="1">
        <row r="2">
          <cell r="A2" t="str">
            <v>Aarak, Halvor</v>
          </cell>
        </row>
        <row r="3">
          <cell r="A3" t="str">
            <v>Bauge, Lena</v>
          </cell>
        </row>
        <row r="4">
          <cell r="A4" t="str">
            <v>Bolbasi, Helsho</v>
          </cell>
        </row>
        <row r="5">
          <cell r="A5" t="str">
            <v>Dalan, Anne Christine</v>
          </cell>
        </row>
        <row r="6">
          <cell r="A6" t="str">
            <v>Davidsen,Eivind Christian</v>
          </cell>
        </row>
        <row r="7">
          <cell r="A7" t="str">
            <v>Engen, Tuva</v>
          </cell>
        </row>
        <row r="8">
          <cell r="A8" t="str">
            <v>Forberg, Gina</v>
          </cell>
        </row>
        <row r="9">
          <cell r="A9" t="str">
            <v>Ghaffar, Rizwan Ali</v>
          </cell>
        </row>
        <row r="10">
          <cell r="A10" t="str">
            <v>Groep, Peter Frans  Van De</v>
          </cell>
        </row>
        <row r="11">
          <cell r="A11" t="str">
            <v>Hansen, Eirin Ruud</v>
          </cell>
        </row>
        <row r="12">
          <cell r="A12" t="str">
            <v>Heggelund, Silje Christine</v>
          </cell>
        </row>
        <row r="13">
          <cell r="A13" t="str">
            <v>Hverven, Pål</v>
          </cell>
        </row>
        <row r="14">
          <cell r="A14" t="str">
            <v>Irfan, Anum</v>
          </cell>
        </row>
        <row r="15">
          <cell r="A15" t="str">
            <v>Jensen, Janne</v>
          </cell>
        </row>
        <row r="16">
          <cell r="A16" t="str">
            <v>Johansen, Elin</v>
          </cell>
        </row>
        <row r="17">
          <cell r="A17" t="str">
            <v>Kann, Ida Karina</v>
          </cell>
        </row>
        <row r="18">
          <cell r="A18" t="str">
            <v>Karlsen, Elise Vatland</v>
          </cell>
        </row>
        <row r="19">
          <cell r="A19" t="str">
            <v>Kristense, Jana</v>
          </cell>
        </row>
        <row r="20">
          <cell r="A20" t="str">
            <v>Larsen, Henriette Berg</v>
          </cell>
        </row>
        <row r="21">
          <cell r="A21" t="str">
            <v>Lie, Steinar</v>
          </cell>
        </row>
        <row r="22">
          <cell r="A22" t="str">
            <v>Mæland, Hanne</v>
          </cell>
        </row>
        <row r="23">
          <cell r="A23" t="str">
            <v>Mørland, Stine Alexandra Solberg</v>
          </cell>
        </row>
        <row r="24">
          <cell r="A24" t="str">
            <v>Nalum, Christopher Veseth</v>
          </cell>
        </row>
        <row r="25">
          <cell r="A25" t="str">
            <v>Nilsen, Anna</v>
          </cell>
        </row>
        <row r="26">
          <cell r="A26" t="str">
            <v>Nystad, Nicholas</v>
          </cell>
        </row>
        <row r="27">
          <cell r="A27" t="str">
            <v>Risøy, Asbjørn</v>
          </cell>
        </row>
        <row r="28">
          <cell r="A28" t="str">
            <v>Røsandhaug, Gerd Westad</v>
          </cell>
        </row>
        <row r="29">
          <cell r="A29" t="str">
            <v>Sand, Benedicte</v>
          </cell>
        </row>
        <row r="30">
          <cell r="A30" t="str">
            <v>Schanke, Håkon Undlien</v>
          </cell>
        </row>
        <row r="31">
          <cell r="A31" t="str">
            <v>Shoor, Marita</v>
          </cell>
        </row>
        <row r="32">
          <cell r="A32" t="str">
            <v>Solheim, Christine Gees</v>
          </cell>
        </row>
        <row r="33">
          <cell r="A33" t="str">
            <v>Solvang, Henning</v>
          </cell>
        </row>
        <row r="34">
          <cell r="A34" t="str">
            <v>Sæland, Thina Nordli</v>
          </cell>
        </row>
        <row r="35">
          <cell r="A35" t="str">
            <v>Tandberg, Anne Christine</v>
          </cell>
        </row>
        <row r="36">
          <cell r="A36" t="str">
            <v>Thorstensen, Beatrice</v>
          </cell>
        </row>
        <row r="37">
          <cell r="A37" t="str">
            <v>Vefring, Sigmund</v>
          </cell>
        </row>
        <row r="38">
          <cell r="A38" t="str">
            <v>Virtanen, Sara</v>
          </cell>
        </row>
        <row r="39">
          <cell r="A39" t="str">
            <v>Øyrehagen, Ingrid</v>
          </cell>
        </row>
      </sheetData>
      <sheetData sheetId="2">
        <row r="2">
          <cell r="A2" t="str">
            <v>8A</v>
          </cell>
        </row>
        <row r="3">
          <cell r="A3" t="str">
            <v>8B</v>
          </cell>
        </row>
        <row r="4">
          <cell r="A4" t="str">
            <v>8C</v>
          </cell>
        </row>
        <row r="5">
          <cell r="A5" t="str">
            <v>8D</v>
          </cell>
        </row>
        <row r="6">
          <cell r="A6" t="str">
            <v>8E</v>
          </cell>
        </row>
        <row r="7">
          <cell r="A7" t="str">
            <v>9A</v>
          </cell>
        </row>
        <row r="8">
          <cell r="A8" t="str">
            <v>9B</v>
          </cell>
        </row>
        <row r="9">
          <cell r="A9" t="str">
            <v>9C</v>
          </cell>
        </row>
        <row r="10">
          <cell r="A10" t="str">
            <v>9D</v>
          </cell>
        </row>
        <row r="11">
          <cell r="A11" t="str">
            <v>9E</v>
          </cell>
        </row>
        <row r="12">
          <cell r="A12" t="str">
            <v>10A</v>
          </cell>
        </row>
        <row r="13">
          <cell r="A13" t="str">
            <v>10B</v>
          </cell>
        </row>
        <row r="14">
          <cell r="A14" t="str">
            <v>10C</v>
          </cell>
        </row>
        <row r="15">
          <cell r="A15" t="str">
            <v>10D</v>
          </cell>
        </row>
        <row r="16">
          <cell r="A16" t="str">
            <v>10E</v>
          </cell>
        </row>
        <row r="17">
          <cell r="A17" t="str">
            <v>By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6468-4F79-48E7-B17C-11C92CA0C697}">
  <sheetPr codeName="Ark5"/>
  <dimension ref="A1:A5"/>
  <sheetViews>
    <sheetView tabSelected="1" workbookViewId="0">
      <selection activeCell="J12" sqref="J12"/>
    </sheetView>
  </sheetViews>
  <sheetFormatPr baseColWidth="10" defaultRowHeight="15" x14ac:dyDescent="0.25"/>
  <sheetData>
    <row r="1" spans="1:1" ht="21" x14ac:dyDescent="0.35">
      <c r="A1" s="76" t="s">
        <v>101</v>
      </c>
    </row>
    <row r="2" spans="1:1" x14ac:dyDescent="0.25">
      <c r="A2" t="s">
        <v>75</v>
      </c>
    </row>
    <row r="3" spans="1:1" x14ac:dyDescent="0.25">
      <c r="A3" t="s">
        <v>108</v>
      </c>
    </row>
    <row r="5" spans="1:1" x14ac:dyDescent="0.25">
      <c r="A5" t="s">
        <v>110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rk1.LageFanerForHverAnsatt">
                <anchor moveWithCells="1" sizeWithCells="1">
                  <from>
                    <xdr:col>2</xdr:col>
                    <xdr:colOff>752475</xdr:colOff>
                    <xdr:row>0</xdr:row>
                    <xdr:rowOff>171450</xdr:rowOff>
                  </from>
                  <to>
                    <xdr:col>5</xdr:col>
                    <xdr:colOff>514350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CE2BE-7E44-445E-B928-29AAF3CD4596}">
  <sheetPr codeName="Ark6"/>
  <dimension ref="A1:T42"/>
  <sheetViews>
    <sheetView workbookViewId="0">
      <selection activeCell="D18" sqref="D18"/>
    </sheetView>
  </sheetViews>
  <sheetFormatPr baseColWidth="10" defaultRowHeight="15" x14ac:dyDescent="0.25"/>
  <cols>
    <col min="1" max="1" width="32.42578125" customWidth="1"/>
    <col min="2" max="2" width="5.5703125" bestFit="1" customWidth="1"/>
    <col min="3" max="3" width="6.5703125" bestFit="1" customWidth="1"/>
    <col min="4" max="4" width="9" customWidth="1"/>
    <col min="5" max="6" width="7.42578125" customWidth="1"/>
    <col min="7" max="7" width="7.85546875" customWidth="1"/>
    <col min="8" max="8" width="13.7109375" customWidth="1"/>
    <col min="9" max="9" width="12.140625" customWidth="1"/>
    <col min="10" max="10" width="11.5703125" bestFit="1" customWidth="1"/>
    <col min="11" max="11" width="10.5703125" style="24" bestFit="1" customWidth="1"/>
    <col min="12" max="12" width="7.42578125" customWidth="1"/>
    <col min="13" max="13" width="42.85546875" bestFit="1" customWidth="1"/>
    <col min="14" max="14" width="10.140625" bestFit="1" customWidth="1"/>
    <col min="15" max="15" width="8.42578125" bestFit="1" customWidth="1"/>
  </cols>
  <sheetData>
    <row r="1" spans="1:20" x14ac:dyDescent="0.25">
      <c r="A1" s="4" t="s">
        <v>19</v>
      </c>
      <c r="B1" s="81"/>
      <c r="C1" s="81"/>
      <c r="D1" s="81"/>
      <c r="E1" s="81"/>
      <c r="F1" s="81"/>
      <c r="G1" s="81"/>
      <c r="H1" s="81"/>
      <c r="I1" s="81"/>
      <c r="J1" s="82" t="s">
        <v>21</v>
      </c>
      <c r="K1" s="82"/>
      <c r="L1" s="82"/>
      <c r="M1" s="5">
        <v>1</v>
      </c>
      <c r="N1" s="6" t="s">
        <v>22</v>
      </c>
      <c r="O1" s="7" t="s">
        <v>23</v>
      </c>
      <c r="P1" s="1"/>
    </row>
    <row r="2" spans="1:20" x14ac:dyDescent="0.25">
      <c r="A2" s="8"/>
      <c r="B2" s="9"/>
      <c r="C2" s="9"/>
      <c r="E2" s="9"/>
      <c r="F2" s="9"/>
      <c r="G2" s="9"/>
      <c r="H2" s="9"/>
      <c r="I2" s="9"/>
      <c r="J2" s="82" t="s">
        <v>24</v>
      </c>
      <c r="K2" s="82"/>
      <c r="L2" s="82"/>
      <c r="M2" s="10" t="s">
        <v>25</v>
      </c>
      <c r="N2" s="6" t="s">
        <v>26</v>
      </c>
      <c r="O2" s="7" t="s">
        <v>27</v>
      </c>
    </row>
    <row r="3" spans="1:20" x14ac:dyDescent="0.25">
      <c r="A3" s="8"/>
      <c r="B3" s="9"/>
      <c r="C3" s="9"/>
      <c r="E3" s="9"/>
      <c r="F3" s="9"/>
      <c r="G3" s="9"/>
      <c r="H3" s="9"/>
      <c r="I3" s="9"/>
      <c r="J3" s="8"/>
      <c r="K3" s="11"/>
      <c r="L3" s="8"/>
      <c r="M3" s="9"/>
      <c r="N3" s="8"/>
    </row>
    <row r="4" spans="1:20" s="1" customFormat="1" x14ac:dyDescent="0.25">
      <c r="A4" s="12" t="s">
        <v>28</v>
      </c>
      <c r="C4" s="12"/>
      <c r="E4" s="12"/>
      <c r="F4" s="12"/>
      <c r="G4" s="12"/>
      <c r="H4" s="12"/>
      <c r="I4" s="12"/>
      <c r="J4" s="13"/>
      <c r="K4" s="14"/>
      <c r="L4" s="13"/>
      <c r="M4" s="12" t="s">
        <v>29</v>
      </c>
      <c r="N4" s="13"/>
    </row>
    <row r="5" spans="1:20" s="1" customFormat="1" x14ac:dyDescent="0.2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35</v>
      </c>
      <c r="G5" s="6" t="s">
        <v>36</v>
      </c>
      <c r="H5" s="6" t="s">
        <v>37</v>
      </c>
      <c r="I5" s="6" t="s">
        <v>38</v>
      </c>
      <c r="J5" s="6" t="s">
        <v>33</v>
      </c>
      <c r="K5" s="15" t="s">
        <v>39</v>
      </c>
      <c r="M5" s="16"/>
      <c r="N5" s="17" t="s">
        <v>33</v>
      </c>
      <c r="O5" s="6" t="s">
        <v>40</v>
      </c>
    </row>
    <row r="6" spans="1:20" x14ac:dyDescent="0.25">
      <c r="A6" s="18"/>
      <c r="B6" s="18"/>
      <c r="C6" s="18"/>
      <c r="D6" s="19">
        <f>IF(A6=[1]Tallgrunnlag!$A$3,[1]Tallgrunnlag!$B$3,IF(A6=[1]Tallgrunnlag!$A$4,[1]Tallgrunnlag!$B$4,IF(A6=[1]Tallgrunnlag!$A$5,[1]Tallgrunnlag!$B$5,IF(A6=[1]Tallgrunnlag!$A$6,[1]Tallgrunnlag!$B$6,IF(A6=[1]Tallgrunnlag!$A$7,[1]Tallgrunnlag!$B$7)))))+IF(A6=[1]Tallgrunnlag!$A$8,[1]Tallgrunnlag!$B$8,IF(A6=[1]Tallgrunnlag!$A$9,[1]Tallgrunnlag!$B$9,IF(A6=[1]Tallgrunnlag!$A$10,[1]Tallgrunnlag!$B$10,IF(A6=[1]Tallgrunnlag!$A$11,[1]Tallgrunnlag!$B$11,IF(A6=[1]Tallgrunnlag!$A$12,[1]Tallgrunnlag!$B$12,IF(A6=[1]Tallgrunnlag!$A$13,[1]Tallgrunnlag!$B$13,IF(A6=[1]Tallgrunnlag!$A$14,[1]Tallgrunnlag!$B$14,IF(A6=[1]Tallgrunnlag!$A$15,[1]Tallgrunnlag!$B$15,IF(A6=[1]Tallgrunnlag!$A$16,[1]Tallgrunnlag!$B$16,IF(A6=[1]Tallgrunnlag!$A$17,[1]Tallgrunnlag!$B$17,IF(A6=[1]Tallgrunnlag!$A$18,[1]Tallgrunnlag!$B$18,IF(A6=[1]Tallgrunnlag!$A$19,[1]Tallgrunnlag!$B$19,IF(A6=[1]Tallgrunnlag!$A$20,[1]Tallgrunnlag!$B$20,IF(A6=[1]Tallgrunnlag!$A$21,[1]Tallgrunnlag!$B$21,IF(A6=[1]Tallgrunnlag!$A$22,[1]Tallgrunnlag!$B$22,IF(A6=[1]Tallgrunnlag!$A$23,[1]Tallgrunnlag!$B$23,IF(A6=[1]Tallgrunnlag!$A$24,[1]Tallgrunnlag!$B$24,IF(A6=[1]Tallgrunnlag!$A$25,[1]Tallgrunnlag!$B$25,IF(A6=[1]Tallgrunnlag!$A$26,[1]Tallgrunnlag!$B$26,IF(A6=[1]Tallgrunnlag!$A$27,[1]Tallgrunnlag!$B$27,IF(A6=[1]Tallgrunnlag!$A$28,[1]Tallgrunnlag!$B$28,IF(A6=[1]Tallgrunnlag!$A$29,[1]Tallgrunnlag!$B$29,))))))))))))))))))))))</f>
        <v>0</v>
      </c>
      <c r="E6" s="20" t="b">
        <f>IF(B6=8,IF(A6=[1]Tallgrunnlag!$A$3,[1]Tallgrunnlag!$D$3,IF(A6=[1]Tallgrunnlag!$A$4,[1]Tallgrunnlag!$D$4,IF(A6=[1]Tallgrunnlag!$A$5,[1]Tallgrunnlag!$D$5,IF(A6=[1]Tallgrunnlag!$A$6,[1]Tallgrunnlag!$D$6,IF(A6=[1]Tallgrunnlag!$A$7,[1]Tallgrunnlag!$D$7)))))+IF(A6=[1]Tallgrunnlag!$A$8,[1]Tallgrunnlag!$D$8,IF(A6=[1]Tallgrunnlag!$A$9,[1]Tallgrunnlag!$D$9,IF(A6=[1]Tallgrunnlag!$A$10,[1]Tallgrunnlag!$D$10,IF(A6=[1]Tallgrunnlag!$A$11,[1]Tallgrunnlag!$D$11,IF(A6=[1]Tallgrunnlag!$A$12,[1]Tallgrunnlag!$D$12,IF(A6=[1]Tallgrunnlag!$A$13,[1]Tallgrunnlag!$D$13,IF(A6=[1]Tallgrunnlag!$A$14,[1]Tallgrunnlag!$D$14,IF(A6=[1]Tallgrunnlag!$A$15,[1]Tallgrunnlag!$D$15,IF(A6=[1]Tallgrunnlag!$A$16,[1]Tallgrunnlag!$D$16,IF(A6=[1]Tallgrunnlag!$A$17,[1]Tallgrunnlag!$D$17,IF(A6=[1]Tallgrunnlag!$A$18,[1]Tallgrunnlag!$D$18,IF(A6=[1]Tallgrunnlag!$A$19,[1]Tallgrunnlag!$D$19,IF(A6=[1]Tallgrunnlag!$A$20,[1]Tallgrunnlag!$D$20,IF(A6=[1]Tallgrunnlag!$A$21,[1]Tallgrunnlag!$D$21,IF(A6=[1]Tallgrunnlag!$A$22,[1]Tallgrunnlag!$D$22,IF(A6=[1]Tallgrunnlag!$A$23,[1]Tallgrunnlag!$D$23,IF(A6=[1]Tallgrunnlag!$A$24,[1]Tallgrunnlag!$D$24,IF(A6=[1]Tallgrunnlag!$A$25,[1]Tallgrunnlag!$D$25,IF(A6=[1]Tallgrunnlag!$A$26,[1]Tallgrunnlag!$D$26,IF(A6=[1]Tallgrunnlag!$A$27,[1]Tallgrunnlag!$D$27,IF(A6=[1]Tallgrunnlag!$A$28,[1]Tallgrunnlag!$D$28,IF(A6=[1]Tallgrunnlag!$A$29,[1]Tallgrunnlag!$D$29,)))))))))))))))))))))))</f>
        <v>0</v>
      </c>
      <c r="F6" s="20" t="b">
        <f>IF(B6=9,IF(A6=[1]Tallgrunnlag!$A$3,[1]Tallgrunnlag!$E$3,IF(A6=[1]Tallgrunnlag!$A$4,[1]Tallgrunnlag!$E$4,IF(A6=[1]Tallgrunnlag!$A$5,[1]Tallgrunnlag!$E$5,IF(A6=[1]Tallgrunnlag!$A$6,[1]Tallgrunnlag!$E$6,IF(A6=[1]Tallgrunnlag!$A$7,[1]Tallgrunnlag!$E$7)))))+IF(A6=[1]Tallgrunnlag!$A$8,[1]Tallgrunnlag!$E$8,IF(A6=[1]Tallgrunnlag!$A$9,[1]Tallgrunnlag!$E$9,IF(A6=[1]Tallgrunnlag!$A$10,[1]Tallgrunnlag!$E$10,IF(A6=[1]Tallgrunnlag!$A$11,[1]Tallgrunnlag!$E$11,IF(A6=[1]Tallgrunnlag!$A$12,[1]Tallgrunnlag!$E$12,IF(A6=[1]Tallgrunnlag!$A$13,[1]Tallgrunnlag!$E$13,IF(A6=[1]Tallgrunnlag!$A$14,[1]Tallgrunnlag!$E$14,IF(A6=[1]Tallgrunnlag!$A$15,[1]Tallgrunnlag!$E$15,IF(A6=[1]Tallgrunnlag!$A$16,[1]Tallgrunnlag!$E$16,IF(A6=[1]Tallgrunnlag!$A$17,[1]Tallgrunnlag!$E$17,IF(A6=[1]Tallgrunnlag!$A$18,[1]Tallgrunnlag!$E$18,IF(A6=[1]Tallgrunnlag!$A$19,[1]Tallgrunnlag!$E$19,IF(A6=[1]Tallgrunnlag!$A$20,[1]Tallgrunnlag!$E$20,IF(A6=[1]Tallgrunnlag!$A$21,[1]Tallgrunnlag!$E$21,IF(A6=[1]Tallgrunnlag!$A$22,[1]Tallgrunnlag!$E$22,IF(A6=[1]Tallgrunnlag!$A$23,[1]Tallgrunnlag!$E$23,IF(A6=[1]Tallgrunnlag!$A$24,[1]Tallgrunnlag!$E$24,IF(A6=[1]Tallgrunnlag!$A$25,[1]Tallgrunnlag!$E$25,IF(A6=[1]Tallgrunnlag!$A$26,[1]Tallgrunnlag!$E$26,IF(A6=[1]Tallgrunnlag!$A$27,[1]Tallgrunnlag!$E$27,IF(A6=[1]Tallgrunnlag!$A$28,[1]Tallgrunnlag!$E$28,IF(A6=[1]Tallgrunnlag!$A$29,[1]Tallgrunnlag!$E$29,)))))))))))))))))))))))</f>
        <v>0</v>
      </c>
      <c r="G6" s="20" t="b">
        <f>IF(B6=10,IF(A6=[1]Tallgrunnlag!$A$3,[1]Tallgrunnlag!$F$3,IF(A6=[1]Tallgrunnlag!$A$4,[1]Tallgrunnlag!$F$4,IF(A6=[1]Tallgrunnlag!$A$5,[1]Tallgrunnlag!$F$5,IF(A6=[1]Tallgrunnlag!$A$6,[1]Tallgrunnlag!$F$6,IF(A6=[1]Tallgrunnlag!$A$7,[1]Tallgrunnlag!$F$7)))))+IF(A6=[1]Tallgrunnlag!$A$8,[1]Tallgrunnlag!$F$8,IF(A6=[1]Tallgrunnlag!$A$9,[1]Tallgrunnlag!$F$9,IF(A6=[1]Tallgrunnlag!$A$10,[1]Tallgrunnlag!$F$10,IF(A6=[1]Tallgrunnlag!$A$11,[1]Tallgrunnlag!$F$11,IF(A6=[1]Tallgrunnlag!$A$12,[1]Tallgrunnlag!$F$12,IF(A6=[1]Tallgrunnlag!$A$13,[1]Tallgrunnlag!$F$13,IF(A6=[1]Tallgrunnlag!$A$14,[1]Tallgrunnlag!$F$14,IF(A6=[1]Tallgrunnlag!$A$15,[1]Tallgrunnlag!$F$15,IF(A6=[1]Tallgrunnlag!$A$16,[1]Tallgrunnlag!$F$16,IF(A6=[1]Tallgrunnlag!$A$17,[1]Tallgrunnlag!$F$17,IF(A6=[1]Tallgrunnlag!$A$18,[1]Tallgrunnlag!$F$18,IF(A6=[1]Tallgrunnlag!$A$19,[1]Tallgrunnlag!$F$19,IF(A6=[1]Tallgrunnlag!$A$20,[1]Tallgrunnlag!$F$20,IF(A6=[1]Tallgrunnlag!$A$21,[1]Tallgrunnlag!$F$21,IF(A6=[1]Tallgrunnlag!$A$22,[1]Tallgrunnlag!$F$22,IF(A6=[1]Tallgrunnlag!$A$23,[1]Tallgrunnlag!$F$23,IF(A6=[1]Tallgrunnlag!$A$24,[1]Tallgrunnlag!$F$24,IF(A6=[1]Tallgrunnlag!$A$25,[1]Tallgrunnlag!$F$25,IF(A6=[1]Tallgrunnlag!$A$26,[1]Tallgrunnlag!$F$26,IF(A6=[1]Tallgrunnlag!$A$27,[1]Tallgrunnlag!$F$27,IF(A6=[1]Tallgrunnlag!$A$28,[1]Tallgrunnlag!$F$28,IF(A6=[1]Tallgrunnlag!$A$29,[1]Tallgrunnlag!$F$29,)))))))))))))))))))))))</f>
        <v>0</v>
      </c>
      <c r="H6" s="20" t="str">
        <f>IF(A6=[1]Tallgrunnlag!$A$22,[1]Tallgrunnlag!$C$22/3-E32-E33-E34-E35,"")</f>
        <v/>
      </c>
      <c r="I6" s="20" t="str">
        <f>IF(A6="","",IF(A6=[1]Tallgrunnlag!$A$22,H6,IF(C6=[1]Tallgrunnlag!$B$92,((E6+F6+G6)*5),IF(C6=[1]Tallgrunnlag!$B$93,((E6+F6+G6)*4),E6+F6+G6))))</f>
        <v/>
      </c>
      <c r="J6" s="20" t="str">
        <f t="shared" ref="J6:J20" si="0">IF(A6="","",I6*38)</f>
        <v/>
      </c>
      <c r="K6" s="21" t="str">
        <f>IF(A6="","",IF(A6=[1]Tallgrunnlag!$A$22,J6/D6,J6/D6))</f>
        <v/>
      </c>
      <c r="M6" s="22" t="s">
        <v>41</v>
      </c>
      <c r="N6" s="23">
        <f>[1]Tallgrunnlag!B50*$M$1</f>
        <v>1687.5</v>
      </c>
      <c r="O6" s="23"/>
      <c r="S6" s="24"/>
      <c r="T6" s="25"/>
    </row>
    <row r="7" spans="1:20" x14ac:dyDescent="0.25">
      <c r="A7" s="18"/>
      <c r="B7" s="18"/>
      <c r="C7" s="18"/>
      <c r="D7" s="19">
        <f>IF(A7=[1]Tallgrunnlag!$A$3,[1]Tallgrunnlag!$B$3,IF(A7=[1]Tallgrunnlag!$A$4,[1]Tallgrunnlag!$B$4,IF(A7=[1]Tallgrunnlag!$A$5,[1]Tallgrunnlag!$B$5,IF(A7=[1]Tallgrunnlag!$A$6,[1]Tallgrunnlag!$B$6,IF(A7=[1]Tallgrunnlag!$A$7,[1]Tallgrunnlag!$B$7)))))+IF(A7=[1]Tallgrunnlag!$A$8,[1]Tallgrunnlag!$B$8,IF(A7=[1]Tallgrunnlag!$A$9,[1]Tallgrunnlag!$B$9,IF(A7=[1]Tallgrunnlag!$A$10,[1]Tallgrunnlag!$B$10,IF(A7=[1]Tallgrunnlag!$A$11,[1]Tallgrunnlag!$B$11,IF(A7=[1]Tallgrunnlag!$A$12,[1]Tallgrunnlag!$B$12,IF(A7=[1]Tallgrunnlag!$A$13,[1]Tallgrunnlag!$B$13,IF(A7=[1]Tallgrunnlag!$A$14,[1]Tallgrunnlag!$B$14,IF(A7=[1]Tallgrunnlag!$A$15,[1]Tallgrunnlag!$B$15,IF(A7=[1]Tallgrunnlag!$A$16,[1]Tallgrunnlag!$B$16,IF(A7=[1]Tallgrunnlag!$A$17,[1]Tallgrunnlag!$B$17,IF(A7=[1]Tallgrunnlag!$A$18,[1]Tallgrunnlag!$B$18,IF(A7=[1]Tallgrunnlag!$A$19,[1]Tallgrunnlag!$B$19,IF(A7=[1]Tallgrunnlag!$A$20,[1]Tallgrunnlag!$B$20,IF(A7=[1]Tallgrunnlag!$A$21,[1]Tallgrunnlag!$B$21,IF(A7=[1]Tallgrunnlag!$A$22,[1]Tallgrunnlag!$B$22,IF(A7=[1]Tallgrunnlag!$A$23,[1]Tallgrunnlag!$B$23,IF(A7=[1]Tallgrunnlag!$A$24,[1]Tallgrunnlag!$B$24,IF(A7=[1]Tallgrunnlag!$A$25,[1]Tallgrunnlag!$B$25,IF(A7=[1]Tallgrunnlag!$A$26,[1]Tallgrunnlag!$B$26,IF(A7=[1]Tallgrunnlag!$A$27,[1]Tallgrunnlag!$B$27,IF(A7=[1]Tallgrunnlag!$A$28,[1]Tallgrunnlag!$B$28,IF(A7=[1]Tallgrunnlag!$A$29,[1]Tallgrunnlag!$B$29,))))))))))))))))))))))</f>
        <v>0</v>
      </c>
      <c r="E7" s="20" t="b">
        <f>IF(B7=8,IF(A7=[1]Tallgrunnlag!$A$3,[1]Tallgrunnlag!$D$3,IF(A7=[1]Tallgrunnlag!$A$4,[1]Tallgrunnlag!$D$4,IF(A7=[1]Tallgrunnlag!$A$5,[1]Tallgrunnlag!$D$5,IF(A7=[1]Tallgrunnlag!$A$6,[1]Tallgrunnlag!$D$6,IF(A7=[1]Tallgrunnlag!$A$7,[1]Tallgrunnlag!$D$7)))))+IF(A7=[1]Tallgrunnlag!$A$8,[1]Tallgrunnlag!$D$8,IF(A7=[1]Tallgrunnlag!$A$9,[1]Tallgrunnlag!$D$9,IF(A7=[1]Tallgrunnlag!$A$10,[1]Tallgrunnlag!$D$10,IF(A7=[1]Tallgrunnlag!$A$11,[1]Tallgrunnlag!$D$11,IF(A7=[1]Tallgrunnlag!$A$12,[1]Tallgrunnlag!$D$12,IF(A7=[1]Tallgrunnlag!$A$13,[1]Tallgrunnlag!$D$13,IF(A7=[1]Tallgrunnlag!$A$14,[1]Tallgrunnlag!$D$14,IF(A7=[1]Tallgrunnlag!$A$15,[1]Tallgrunnlag!$D$15,IF(A7=[1]Tallgrunnlag!$A$16,[1]Tallgrunnlag!$D$16,IF(A7=[1]Tallgrunnlag!$A$17,[1]Tallgrunnlag!$D$17,IF(A7=[1]Tallgrunnlag!$A$18,[1]Tallgrunnlag!$D$18,IF(A7=[1]Tallgrunnlag!$A$19,[1]Tallgrunnlag!$D$19,IF(A7=[1]Tallgrunnlag!$A$20,[1]Tallgrunnlag!$D$20,IF(A7=[1]Tallgrunnlag!$A$21,[1]Tallgrunnlag!$D$21,IF(A7=[1]Tallgrunnlag!$A$22,[1]Tallgrunnlag!$D$22,IF(A7=[1]Tallgrunnlag!$A$23,[1]Tallgrunnlag!$D$23,IF(A7=[1]Tallgrunnlag!$A$24,[1]Tallgrunnlag!$D$24,IF(A7=[1]Tallgrunnlag!$A$25,[1]Tallgrunnlag!$D$25,IF(A7=[1]Tallgrunnlag!$A$26,[1]Tallgrunnlag!$D$26,IF(A7=[1]Tallgrunnlag!$A$27,[1]Tallgrunnlag!$D$27,IF(A7=[1]Tallgrunnlag!$A$28,[1]Tallgrunnlag!$D$28,IF(A7=[1]Tallgrunnlag!$A$29,[1]Tallgrunnlag!$D$29,)))))))))))))))))))))))</f>
        <v>0</v>
      </c>
      <c r="F7" s="20" t="b">
        <f>IF(B7=9,IF(A7=[1]Tallgrunnlag!$A$3,[1]Tallgrunnlag!$E$3,IF(A7=[1]Tallgrunnlag!$A$4,[1]Tallgrunnlag!$E$4,IF(A7=[1]Tallgrunnlag!$A$5,[1]Tallgrunnlag!$E$5,IF(A7=[1]Tallgrunnlag!$A$6,[1]Tallgrunnlag!$E$6,IF(A7=[1]Tallgrunnlag!$A$7,[1]Tallgrunnlag!$E$7)))))+IF(A7=[1]Tallgrunnlag!$A$8,[1]Tallgrunnlag!$E$8,IF(A7=[1]Tallgrunnlag!$A$9,[1]Tallgrunnlag!$E$9,IF(A7=[1]Tallgrunnlag!$A$10,[1]Tallgrunnlag!$E$10,IF(A7=[1]Tallgrunnlag!$A$11,[1]Tallgrunnlag!$E$11,IF(A7=[1]Tallgrunnlag!$A$12,[1]Tallgrunnlag!$E$12,IF(A7=[1]Tallgrunnlag!$A$13,[1]Tallgrunnlag!$E$13,IF(A7=[1]Tallgrunnlag!$A$14,[1]Tallgrunnlag!$E$14,IF(A7=[1]Tallgrunnlag!$A$15,[1]Tallgrunnlag!$E$15,IF(A7=[1]Tallgrunnlag!$A$16,[1]Tallgrunnlag!$E$16,IF(A7=[1]Tallgrunnlag!$A$17,[1]Tallgrunnlag!$E$17,IF(A7=[1]Tallgrunnlag!$A$18,[1]Tallgrunnlag!$E$18,IF(A7=[1]Tallgrunnlag!$A$19,[1]Tallgrunnlag!$E$19,IF(A7=[1]Tallgrunnlag!$A$20,[1]Tallgrunnlag!$E$20,IF(A7=[1]Tallgrunnlag!$A$21,[1]Tallgrunnlag!$E$21,IF(A7=[1]Tallgrunnlag!$A$22,[1]Tallgrunnlag!$E$22,IF(A7=[1]Tallgrunnlag!$A$23,[1]Tallgrunnlag!$E$23,IF(A7=[1]Tallgrunnlag!$A$24,[1]Tallgrunnlag!$E$24,IF(A7=[1]Tallgrunnlag!$A$25,[1]Tallgrunnlag!$E$25,IF(A7=[1]Tallgrunnlag!$A$26,[1]Tallgrunnlag!$E$26,IF(A7=[1]Tallgrunnlag!$A$27,[1]Tallgrunnlag!$E$27,IF(A7=[1]Tallgrunnlag!$A$28,[1]Tallgrunnlag!$E$28,IF(A7=[1]Tallgrunnlag!$A$29,[1]Tallgrunnlag!$E$29,)))))))))))))))))))))))</f>
        <v>0</v>
      </c>
      <c r="G7" s="20" t="b">
        <f>IF(B7=10,IF(A7=[1]Tallgrunnlag!$A$3,[1]Tallgrunnlag!$F$3,IF(A7=[1]Tallgrunnlag!$A$4,[1]Tallgrunnlag!$F$4,IF(A7=[1]Tallgrunnlag!$A$5,[1]Tallgrunnlag!$F$5,IF(A7=[1]Tallgrunnlag!$A$6,[1]Tallgrunnlag!$F$6,IF(A7=[1]Tallgrunnlag!$A$7,[1]Tallgrunnlag!$F$7)))))+IF(A7=[1]Tallgrunnlag!$A$8,[1]Tallgrunnlag!$F$8,IF(A7=[1]Tallgrunnlag!$A$9,[1]Tallgrunnlag!$F$9,IF(A7=[1]Tallgrunnlag!$A$10,[1]Tallgrunnlag!$F$10,IF(A7=[1]Tallgrunnlag!$A$11,[1]Tallgrunnlag!$F$11,IF(A7=[1]Tallgrunnlag!$A$12,[1]Tallgrunnlag!$F$12,IF(A7=[1]Tallgrunnlag!$A$13,[1]Tallgrunnlag!$F$13,IF(A7=[1]Tallgrunnlag!$A$14,[1]Tallgrunnlag!$F$14,IF(A7=[1]Tallgrunnlag!$A$15,[1]Tallgrunnlag!$F$15,IF(A7=[1]Tallgrunnlag!$A$16,[1]Tallgrunnlag!$F$16,IF(A7=[1]Tallgrunnlag!$A$17,[1]Tallgrunnlag!$F$17,IF(A7=[1]Tallgrunnlag!$A$18,[1]Tallgrunnlag!$F$18,IF(A7=[1]Tallgrunnlag!$A$19,[1]Tallgrunnlag!$F$19,IF(A7=[1]Tallgrunnlag!$A$20,[1]Tallgrunnlag!$F$20,IF(A7=[1]Tallgrunnlag!$A$21,[1]Tallgrunnlag!$F$21,IF(A7=[1]Tallgrunnlag!$A$22,[1]Tallgrunnlag!$F$22,IF(A7=[1]Tallgrunnlag!$A$23,[1]Tallgrunnlag!$F$23,IF(A7=[1]Tallgrunnlag!$A$24,[1]Tallgrunnlag!$F$24,IF(A7=[1]Tallgrunnlag!$A$25,[1]Tallgrunnlag!$F$25,IF(A7=[1]Tallgrunnlag!$A$26,[1]Tallgrunnlag!$F$26,IF(A7=[1]Tallgrunnlag!$A$27,[1]Tallgrunnlag!$F$27,IF(A7=[1]Tallgrunnlag!$A$28,[1]Tallgrunnlag!$F$28,IF(A7=[1]Tallgrunnlag!$A$29,[1]Tallgrunnlag!$F$29,)))))))))))))))))))))))</f>
        <v>0</v>
      </c>
      <c r="H7" s="20" t="str">
        <f>IF(A7=[1]Tallgrunnlag!$A$22,[1]Tallgrunnlag!$C$22/3-E33-E34-E35-E36,"")</f>
        <v/>
      </c>
      <c r="I7" s="20" t="str">
        <f>IF(A7="","",IF(A7=[1]Tallgrunnlag!$A$22,H7,IF(C7=[1]Tallgrunnlag!$B$92,((E7+F7+G7)*5),IF(C7=[1]Tallgrunnlag!$B$93,((E7+F7+G7)*4),E7+F7+G7))))</f>
        <v/>
      </c>
      <c r="J7" s="20" t="str">
        <f t="shared" si="0"/>
        <v/>
      </c>
      <c r="K7" s="21" t="str">
        <f>IF(A7="","",IF(A7=[1]Tallgrunnlag!$A$22,J7/D7,J7/D7))</f>
        <v/>
      </c>
      <c r="M7" s="26" t="s">
        <v>42</v>
      </c>
      <c r="N7" s="27">
        <f>[1]Tallgrunnlag!B51*$M$1</f>
        <v>37.5</v>
      </c>
      <c r="O7" s="27"/>
      <c r="Q7" s="24"/>
    </row>
    <row r="8" spans="1:20" x14ac:dyDescent="0.25">
      <c r="A8" s="18"/>
      <c r="B8" s="18"/>
      <c r="C8" s="18"/>
      <c r="D8" s="19">
        <f>IF(A8=[1]Tallgrunnlag!$A$3,[1]Tallgrunnlag!$B$3,IF(A8=[1]Tallgrunnlag!$A$4,[1]Tallgrunnlag!$B$4,IF(A8=[1]Tallgrunnlag!$A$5,[1]Tallgrunnlag!$B$5,IF(A8=[1]Tallgrunnlag!$A$6,[1]Tallgrunnlag!$B$6,IF(A8=[1]Tallgrunnlag!$A$7,[1]Tallgrunnlag!$B$7)))))+IF(A8=[1]Tallgrunnlag!$A$8,[1]Tallgrunnlag!$B$8,IF(A8=[1]Tallgrunnlag!$A$9,[1]Tallgrunnlag!$B$9,IF(A8=[1]Tallgrunnlag!$A$10,[1]Tallgrunnlag!$B$10,IF(A8=[1]Tallgrunnlag!$A$11,[1]Tallgrunnlag!$B$11,IF(A8=[1]Tallgrunnlag!$A$12,[1]Tallgrunnlag!$B$12,IF(A8=[1]Tallgrunnlag!$A$13,[1]Tallgrunnlag!$B$13,IF(A8=[1]Tallgrunnlag!$A$14,[1]Tallgrunnlag!$B$14,IF(A8=[1]Tallgrunnlag!$A$15,[1]Tallgrunnlag!$B$15,IF(A8=[1]Tallgrunnlag!$A$16,[1]Tallgrunnlag!$B$16,IF(A8=[1]Tallgrunnlag!$A$17,[1]Tallgrunnlag!$B$17,IF(A8=[1]Tallgrunnlag!$A$18,[1]Tallgrunnlag!$B$18,IF(A8=[1]Tallgrunnlag!$A$19,[1]Tallgrunnlag!$B$19,IF(A8=[1]Tallgrunnlag!$A$20,[1]Tallgrunnlag!$B$20,IF(A8=[1]Tallgrunnlag!$A$21,[1]Tallgrunnlag!$B$21,IF(A8=[1]Tallgrunnlag!$A$22,[1]Tallgrunnlag!$B$22,IF(A8=[1]Tallgrunnlag!$A$23,[1]Tallgrunnlag!$B$23,IF(A8=[1]Tallgrunnlag!$A$24,[1]Tallgrunnlag!$B$24,IF(A8=[1]Tallgrunnlag!$A$25,[1]Tallgrunnlag!$B$25,IF(A8=[1]Tallgrunnlag!$A$26,[1]Tallgrunnlag!$B$26,IF(A8=[1]Tallgrunnlag!$A$27,[1]Tallgrunnlag!$B$27,IF(A8=[1]Tallgrunnlag!$A$28,[1]Tallgrunnlag!$B$28,IF(A8=[1]Tallgrunnlag!$A$29,[1]Tallgrunnlag!$B$29,))))))))))))))))))))))</f>
        <v>0</v>
      </c>
      <c r="E8" s="20" t="b">
        <f>IF(B8=8,IF(A8=[1]Tallgrunnlag!$A$3,[1]Tallgrunnlag!$D$3,IF(A8=[1]Tallgrunnlag!$A$4,[1]Tallgrunnlag!$D$4,IF(A8=[1]Tallgrunnlag!$A$5,[1]Tallgrunnlag!$D$5,IF(A8=[1]Tallgrunnlag!$A$6,[1]Tallgrunnlag!$D$6,IF(A8=[1]Tallgrunnlag!$A$7,[1]Tallgrunnlag!$D$7)))))+IF(A8=[1]Tallgrunnlag!$A$8,[1]Tallgrunnlag!$D$8,IF(A8=[1]Tallgrunnlag!$A$9,[1]Tallgrunnlag!$D$9,IF(A8=[1]Tallgrunnlag!$A$10,[1]Tallgrunnlag!$D$10,IF(A8=[1]Tallgrunnlag!$A$11,[1]Tallgrunnlag!$D$11,IF(A8=[1]Tallgrunnlag!$A$12,[1]Tallgrunnlag!$D$12,IF(A8=[1]Tallgrunnlag!$A$13,[1]Tallgrunnlag!$D$13,IF(A8=[1]Tallgrunnlag!$A$14,[1]Tallgrunnlag!$D$14,IF(A8=[1]Tallgrunnlag!$A$15,[1]Tallgrunnlag!$D$15,IF(A8=[1]Tallgrunnlag!$A$16,[1]Tallgrunnlag!$D$16,IF(A8=[1]Tallgrunnlag!$A$17,[1]Tallgrunnlag!$D$17,IF(A8=[1]Tallgrunnlag!$A$18,[1]Tallgrunnlag!$D$18,IF(A8=[1]Tallgrunnlag!$A$19,[1]Tallgrunnlag!$D$19,IF(A8=[1]Tallgrunnlag!$A$20,[1]Tallgrunnlag!$D$20,IF(A8=[1]Tallgrunnlag!$A$21,[1]Tallgrunnlag!$D$21,IF(A8=[1]Tallgrunnlag!$A$22,[1]Tallgrunnlag!$D$22,IF(A8=[1]Tallgrunnlag!$A$23,[1]Tallgrunnlag!$D$23,IF(A8=[1]Tallgrunnlag!$A$24,[1]Tallgrunnlag!$D$24,IF(A8=[1]Tallgrunnlag!$A$25,[1]Tallgrunnlag!$D$25,IF(A8=[1]Tallgrunnlag!$A$26,[1]Tallgrunnlag!$D$26,IF(A8=[1]Tallgrunnlag!$A$27,[1]Tallgrunnlag!$D$27,IF(A8=[1]Tallgrunnlag!$A$28,[1]Tallgrunnlag!$D$28,IF(A8=[1]Tallgrunnlag!$A$29,[1]Tallgrunnlag!$D$29,)))))))))))))))))))))))</f>
        <v>0</v>
      </c>
      <c r="F8" s="20" t="b">
        <f>IF(B8=9,IF(A8=[1]Tallgrunnlag!$A$3,[1]Tallgrunnlag!$E$3,IF(A8=[1]Tallgrunnlag!$A$4,[1]Tallgrunnlag!$E$4,IF(A8=[1]Tallgrunnlag!$A$5,[1]Tallgrunnlag!$E$5,IF(A8=[1]Tallgrunnlag!$A$6,[1]Tallgrunnlag!$E$6,IF(A8=[1]Tallgrunnlag!$A$7,[1]Tallgrunnlag!$E$7)))))+IF(A8=[1]Tallgrunnlag!$A$8,[1]Tallgrunnlag!$E$8,IF(A8=[1]Tallgrunnlag!$A$9,[1]Tallgrunnlag!$E$9,IF(A8=[1]Tallgrunnlag!$A$10,[1]Tallgrunnlag!$E$10,IF(A8=[1]Tallgrunnlag!$A$11,[1]Tallgrunnlag!$E$11,IF(A8=[1]Tallgrunnlag!$A$12,[1]Tallgrunnlag!$E$12,IF(A8=[1]Tallgrunnlag!$A$13,[1]Tallgrunnlag!$E$13,IF(A8=[1]Tallgrunnlag!$A$14,[1]Tallgrunnlag!$E$14,IF(A8=[1]Tallgrunnlag!$A$15,[1]Tallgrunnlag!$E$15,IF(A8=[1]Tallgrunnlag!$A$16,[1]Tallgrunnlag!$E$16,IF(A8=[1]Tallgrunnlag!$A$17,[1]Tallgrunnlag!$E$17,IF(A8=[1]Tallgrunnlag!$A$18,[1]Tallgrunnlag!$E$18,IF(A8=[1]Tallgrunnlag!$A$19,[1]Tallgrunnlag!$E$19,IF(A8=[1]Tallgrunnlag!$A$20,[1]Tallgrunnlag!$E$20,IF(A8=[1]Tallgrunnlag!$A$21,[1]Tallgrunnlag!$E$21,IF(A8=[1]Tallgrunnlag!$A$22,[1]Tallgrunnlag!$E$22,IF(A8=[1]Tallgrunnlag!$A$23,[1]Tallgrunnlag!$E$23,IF(A8=[1]Tallgrunnlag!$A$24,[1]Tallgrunnlag!$E$24,IF(A8=[1]Tallgrunnlag!$A$25,[1]Tallgrunnlag!$E$25,IF(A8=[1]Tallgrunnlag!$A$26,[1]Tallgrunnlag!$E$26,IF(A8=[1]Tallgrunnlag!$A$27,[1]Tallgrunnlag!$E$27,IF(A8=[1]Tallgrunnlag!$A$28,[1]Tallgrunnlag!$E$28,IF(A8=[1]Tallgrunnlag!$A$29,[1]Tallgrunnlag!$E$29,)))))))))))))))))))))))</f>
        <v>0</v>
      </c>
      <c r="G8" s="20" t="b">
        <f>IF(B8=10,IF(A8=[1]Tallgrunnlag!$A$3,[1]Tallgrunnlag!$F$3,IF(A8=[1]Tallgrunnlag!$A$4,[1]Tallgrunnlag!$F$4,IF(A8=[1]Tallgrunnlag!$A$5,[1]Tallgrunnlag!$F$5,IF(A8=[1]Tallgrunnlag!$A$6,[1]Tallgrunnlag!$F$6,IF(A8=[1]Tallgrunnlag!$A$7,[1]Tallgrunnlag!$F$7)))))+IF(A8=[1]Tallgrunnlag!$A$8,[1]Tallgrunnlag!$F$8,IF(A8=[1]Tallgrunnlag!$A$9,[1]Tallgrunnlag!$F$9,IF(A8=[1]Tallgrunnlag!$A$10,[1]Tallgrunnlag!$F$10,IF(A8=[1]Tallgrunnlag!$A$11,[1]Tallgrunnlag!$F$11,IF(A8=[1]Tallgrunnlag!$A$12,[1]Tallgrunnlag!$F$12,IF(A8=[1]Tallgrunnlag!$A$13,[1]Tallgrunnlag!$F$13,IF(A8=[1]Tallgrunnlag!$A$14,[1]Tallgrunnlag!$F$14,IF(A8=[1]Tallgrunnlag!$A$15,[1]Tallgrunnlag!$F$15,IF(A8=[1]Tallgrunnlag!$A$16,[1]Tallgrunnlag!$F$16,IF(A8=[1]Tallgrunnlag!$A$17,[1]Tallgrunnlag!$F$17,IF(A8=[1]Tallgrunnlag!$A$18,[1]Tallgrunnlag!$F$18,IF(A8=[1]Tallgrunnlag!$A$19,[1]Tallgrunnlag!$F$19,IF(A8=[1]Tallgrunnlag!$A$20,[1]Tallgrunnlag!$F$20,IF(A8=[1]Tallgrunnlag!$A$21,[1]Tallgrunnlag!$F$21,IF(A8=[1]Tallgrunnlag!$A$22,[1]Tallgrunnlag!$F$22,IF(A8=[1]Tallgrunnlag!$A$23,[1]Tallgrunnlag!$F$23,IF(A8=[1]Tallgrunnlag!$A$24,[1]Tallgrunnlag!$F$24,IF(A8=[1]Tallgrunnlag!$A$25,[1]Tallgrunnlag!$F$25,IF(A8=[1]Tallgrunnlag!$A$26,[1]Tallgrunnlag!$F$26,IF(A8=[1]Tallgrunnlag!$A$27,[1]Tallgrunnlag!$F$27,IF(A8=[1]Tallgrunnlag!$A$28,[1]Tallgrunnlag!$F$28,IF(A8=[1]Tallgrunnlag!$A$29,[1]Tallgrunnlag!$F$29,)))))))))))))))))))))))</f>
        <v>0</v>
      </c>
      <c r="H8" s="20" t="str">
        <f>IF(A8=[1]Tallgrunnlag!$A$22,[1]Tallgrunnlag!$C$22/3-E34-E35-E36-E37,"")</f>
        <v/>
      </c>
      <c r="I8" s="20" t="str">
        <f>IF(A8="","",IF(A8=[1]Tallgrunnlag!$A$22,H8,IF(C8=[1]Tallgrunnlag!$B$92,((E8+F8+G8)*5),IF(C8=[1]Tallgrunnlag!$B$93,((E8+F8+G8)*4),E8+F8+G8))))</f>
        <v/>
      </c>
      <c r="J8" s="20" t="str">
        <f t="shared" si="0"/>
        <v/>
      </c>
      <c r="K8" s="21" t="str">
        <f>IF(A8="","",IF(A8=[1]Tallgrunnlag!$A$22,J8/D8,J8/D8))</f>
        <v/>
      </c>
      <c r="M8" s="26" t="s">
        <v>43</v>
      </c>
      <c r="N8" s="28">
        <f>[1]Tallgrunnlag!B52*$M$1</f>
        <v>1650</v>
      </c>
      <c r="O8" s="28">
        <f t="shared" ref="O8:O34" si="1">N8/38</f>
        <v>43.421052631578945</v>
      </c>
    </row>
    <row r="9" spans="1:20" x14ac:dyDescent="0.25">
      <c r="A9" s="18"/>
      <c r="B9" s="18"/>
      <c r="C9" s="18"/>
      <c r="D9" s="19">
        <f>IF(A9=[1]Tallgrunnlag!$A$3,[1]Tallgrunnlag!$B$3,IF(A9=[1]Tallgrunnlag!$A$4,[1]Tallgrunnlag!$B$4,IF(A9=[1]Tallgrunnlag!$A$5,[1]Tallgrunnlag!$B$5,IF(A9=[1]Tallgrunnlag!$A$6,[1]Tallgrunnlag!$B$6,IF(A9=[1]Tallgrunnlag!$A$7,[1]Tallgrunnlag!$B$7)))))+IF(A9=[1]Tallgrunnlag!$A$8,[1]Tallgrunnlag!$B$8,IF(A9=[1]Tallgrunnlag!$A$9,[1]Tallgrunnlag!$B$9,IF(A9=[1]Tallgrunnlag!$A$10,[1]Tallgrunnlag!$B$10,IF(A9=[1]Tallgrunnlag!$A$11,[1]Tallgrunnlag!$B$11,IF(A9=[1]Tallgrunnlag!$A$12,[1]Tallgrunnlag!$B$12,IF(A9=[1]Tallgrunnlag!$A$13,[1]Tallgrunnlag!$B$13,IF(A9=[1]Tallgrunnlag!$A$14,[1]Tallgrunnlag!$B$14,IF(A9=[1]Tallgrunnlag!$A$15,[1]Tallgrunnlag!$B$15,IF(A9=[1]Tallgrunnlag!$A$16,[1]Tallgrunnlag!$B$16,IF(A9=[1]Tallgrunnlag!$A$17,[1]Tallgrunnlag!$B$17,IF(A9=[1]Tallgrunnlag!$A$18,[1]Tallgrunnlag!$B$18,IF(A9=[1]Tallgrunnlag!$A$19,[1]Tallgrunnlag!$B$19,IF(A9=[1]Tallgrunnlag!$A$20,[1]Tallgrunnlag!$B$20,IF(A9=[1]Tallgrunnlag!$A$21,[1]Tallgrunnlag!$B$21,IF(A9=[1]Tallgrunnlag!$A$22,[1]Tallgrunnlag!$B$22,IF(A9=[1]Tallgrunnlag!$A$23,[1]Tallgrunnlag!$B$23,IF(A9=[1]Tallgrunnlag!$A$24,[1]Tallgrunnlag!$B$24,IF(A9=[1]Tallgrunnlag!$A$25,[1]Tallgrunnlag!$B$25,IF(A9=[1]Tallgrunnlag!$A$26,[1]Tallgrunnlag!$B$26,IF(A9=[1]Tallgrunnlag!$A$27,[1]Tallgrunnlag!$B$27,IF(A9=[1]Tallgrunnlag!$A$28,[1]Tallgrunnlag!$B$28,IF(A9=[1]Tallgrunnlag!$A$29,[1]Tallgrunnlag!$B$29,))))))))))))))))))))))</f>
        <v>0</v>
      </c>
      <c r="E9" s="20" t="b">
        <f>IF(B9=8,IF(A9=[1]Tallgrunnlag!$A$3,[1]Tallgrunnlag!$D$3,IF(A9=[1]Tallgrunnlag!$A$4,[1]Tallgrunnlag!$D$4,IF(A9=[1]Tallgrunnlag!$A$5,[1]Tallgrunnlag!$D$5,IF(A9=[1]Tallgrunnlag!$A$6,[1]Tallgrunnlag!$D$6,IF(A9=[1]Tallgrunnlag!$A$7,[1]Tallgrunnlag!$D$7)))))+IF(A9=[1]Tallgrunnlag!$A$8,[1]Tallgrunnlag!$D$8,IF(A9=[1]Tallgrunnlag!$A$9,[1]Tallgrunnlag!$D$9,IF(A9=[1]Tallgrunnlag!$A$10,[1]Tallgrunnlag!$D$10,IF(A9=[1]Tallgrunnlag!$A$11,[1]Tallgrunnlag!$D$11,IF(A9=[1]Tallgrunnlag!$A$12,[1]Tallgrunnlag!$D$12,IF(A9=[1]Tallgrunnlag!$A$13,[1]Tallgrunnlag!$D$13,IF(A9=[1]Tallgrunnlag!$A$14,[1]Tallgrunnlag!$D$14,IF(A9=[1]Tallgrunnlag!$A$15,[1]Tallgrunnlag!$D$15,IF(A9=[1]Tallgrunnlag!$A$16,[1]Tallgrunnlag!$D$16,IF(A9=[1]Tallgrunnlag!$A$17,[1]Tallgrunnlag!$D$17,IF(A9=[1]Tallgrunnlag!$A$18,[1]Tallgrunnlag!$D$18,IF(A9=[1]Tallgrunnlag!$A$19,[1]Tallgrunnlag!$D$19,IF(A9=[1]Tallgrunnlag!$A$20,[1]Tallgrunnlag!$D$20,IF(A9=[1]Tallgrunnlag!$A$21,[1]Tallgrunnlag!$D$21,IF(A9=[1]Tallgrunnlag!$A$22,[1]Tallgrunnlag!$D$22,IF(A9=[1]Tallgrunnlag!$A$23,[1]Tallgrunnlag!$D$23,IF(A9=[1]Tallgrunnlag!$A$24,[1]Tallgrunnlag!$D$24,IF(A9=[1]Tallgrunnlag!$A$25,[1]Tallgrunnlag!$D$25,IF(A9=[1]Tallgrunnlag!$A$26,[1]Tallgrunnlag!$D$26,IF(A9=[1]Tallgrunnlag!$A$27,[1]Tallgrunnlag!$D$27,IF(A9=[1]Tallgrunnlag!$A$28,[1]Tallgrunnlag!$D$28,IF(A9=[1]Tallgrunnlag!$A$29,[1]Tallgrunnlag!$D$29,)))))))))))))))))))))))</f>
        <v>0</v>
      </c>
      <c r="F9" s="20" t="b">
        <f>IF(B9=9,IF(A9=[1]Tallgrunnlag!$A$3,[1]Tallgrunnlag!$E$3,IF(A9=[1]Tallgrunnlag!$A$4,[1]Tallgrunnlag!$E$4,IF(A9=[1]Tallgrunnlag!$A$5,[1]Tallgrunnlag!$E$5,IF(A9=[1]Tallgrunnlag!$A$6,[1]Tallgrunnlag!$E$6,IF(A9=[1]Tallgrunnlag!$A$7,[1]Tallgrunnlag!$E$7)))))+IF(A9=[1]Tallgrunnlag!$A$8,[1]Tallgrunnlag!$E$8,IF(A9=[1]Tallgrunnlag!$A$9,[1]Tallgrunnlag!$E$9,IF(A9=[1]Tallgrunnlag!$A$10,[1]Tallgrunnlag!$E$10,IF(A9=[1]Tallgrunnlag!$A$11,[1]Tallgrunnlag!$E$11,IF(A9=[1]Tallgrunnlag!$A$12,[1]Tallgrunnlag!$E$12,IF(A9=[1]Tallgrunnlag!$A$13,[1]Tallgrunnlag!$E$13,IF(A9=[1]Tallgrunnlag!$A$14,[1]Tallgrunnlag!$E$14,IF(A9=[1]Tallgrunnlag!$A$15,[1]Tallgrunnlag!$E$15,IF(A9=[1]Tallgrunnlag!$A$16,[1]Tallgrunnlag!$E$16,IF(A9=[1]Tallgrunnlag!$A$17,[1]Tallgrunnlag!$E$17,IF(A9=[1]Tallgrunnlag!$A$18,[1]Tallgrunnlag!$E$18,IF(A9=[1]Tallgrunnlag!$A$19,[1]Tallgrunnlag!$E$19,IF(A9=[1]Tallgrunnlag!$A$20,[1]Tallgrunnlag!$E$20,IF(A9=[1]Tallgrunnlag!$A$21,[1]Tallgrunnlag!$E$21,IF(A9=[1]Tallgrunnlag!$A$22,[1]Tallgrunnlag!$E$22,IF(A9=[1]Tallgrunnlag!$A$23,[1]Tallgrunnlag!$E$23,IF(A9=[1]Tallgrunnlag!$A$24,[1]Tallgrunnlag!$E$24,IF(A9=[1]Tallgrunnlag!$A$25,[1]Tallgrunnlag!$E$25,IF(A9=[1]Tallgrunnlag!$A$26,[1]Tallgrunnlag!$E$26,IF(A9=[1]Tallgrunnlag!$A$27,[1]Tallgrunnlag!$E$27,IF(A9=[1]Tallgrunnlag!$A$28,[1]Tallgrunnlag!$E$28,IF(A9=[1]Tallgrunnlag!$A$29,[1]Tallgrunnlag!$E$29,)))))))))))))))))))))))</f>
        <v>0</v>
      </c>
      <c r="G9" s="20" t="b">
        <f>IF(B9=10,IF(A9=[1]Tallgrunnlag!$A$3,[1]Tallgrunnlag!$F$3,IF(A9=[1]Tallgrunnlag!$A$4,[1]Tallgrunnlag!$F$4,IF(A9=[1]Tallgrunnlag!$A$5,[1]Tallgrunnlag!$F$5,IF(A9=[1]Tallgrunnlag!$A$6,[1]Tallgrunnlag!$F$6,IF(A9=[1]Tallgrunnlag!$A$7,[1]Tallgrunnlag!$F$7)))))+IF(A9=[1]Tallgrunnlag!$A$8,[1]Tallgrunnlag!$F$8,IF(A9=[1]Tallgrunnlag!$A$9,[1]Tallgrunnlag!$F$9,IF(A9=[1]Tallgrunnlag!$A$10,[1]Tallgrunnlag!$F$10,IF(A9=[1]Tallgrunnlag!$A$11,[1]Tallgrunnlag!$F$11,IF(A9=[1]Tallgrunnlag!$A$12,[1]Tallgrunnlag!$F$12,IF(A9=[1]Tallgrunnlag!$A$13,[1]Tallgrunnlag!$F$13,IF(A9=[1]Tallgrunnlag!$A$14,[1]Tallgrunnlag!$F$14,IF(A9=[1]Tallgrunnlag!$A$15,[1]Tallgrunnlag!$F$15,IF(A9=[1]Tallgrunnlag!$A$16,[1]Tallgrunnlag!$F$16,IF(A9=[1]Tallgrunnlag!$A$17,[1]Tallgrunnlag!$F$17,IF(A9=[1]Tallgrunnlag!$A$18,[1]Tallgrunnlag!$F$18,IF(A9=[1]Tallgrunnlag!$A$19,[1]Tallgrunnlag!$F$19,IF(A9=[1]Tallgrunnlag!$A$20,[1]Tallgrunnlag!$F$20,IF(A9=[1]Tallgrunnlag!$A$21,[1]Tallgrunnlag!$F$21,IF(A9=[1]Tallgrunnlag!$A$22,[1]Tallgrunnlag!$F$22,IF(A9=[1]Tallgrunnlag!$A$23,[1]Tallgrunnlag!$F$23,IF(A9=[1]Tallgrunnlag!$A$24,[1]Tallgrunnlag!$F$24,IF(A9=[1]Tallgrunnlag!$A$25,[1]Tallgrunnlag!$F$25,IF(A9=[1]Tallgrunnlag!$A$26,[1]Tallgrunnlag!$F$26,IF(A9=[1]Tallgrunnlag!$A$27,[1]Tallgrunnlag!$F$27,IF(A9=[1]Tallgrunnlag!$A$28,[1]Tallgrunnlag!$F$28,IF(A9=[1]Tallgrunnlag!$A$29,[1]Tallgrunnlag!$F$29,)))))))))))))))))))))))</f>
        <v>0</v>
      </c>
      <c r="H9" s="20" t="str">
        <f>IF(A9=[1]Tallgrunnlag!$A$22,[1]Tallgrunnlag!$C$22/3-E35-E36-E37-E38,"")</f>
        <v/>
      </c>
      <c r="I9" s="20" t="str">
        <f>IF(A9="","",IF(A9=[1]Tallgrunnlag!$A$22,H9,IF(C9=[1]Tallgrunnlag!$B$92,((E9+F9+G9)*5),IF(C9=[1]Tallgrunnlag!$B$93,((E9+F9+G9)*4),E9+F9+G9))))</f>
        <v/>
      </c>
      <c r="J9" s="20" t="str">
        <f t="shared" si="0"/>
        <v/>
      </c>
      <c r="K9" s="21" t="str">
        <f>IF(A9="","",IF(A9=[1]Tallgrunnlag!$A$22,J9/D9,J9/D9))</f>
        <v/>
      </c>
      <c r="M9" s="26" t="s">
        <v>44</v>
      </c>
      <c r="N9" s="28">
        <f>[1]Tallgrunnlag!B53*$M$1</f>
        <v>462.5</v>
      </c>
      <c r="O9" s="28">
        <f t="shared" si="1"/>
        <v>12.171052631578947</v>
      </c>
    </row>
    <row r="10" spans="1:20" x14ac:dyDescent="0.25">
      <c r="A10" s="18"/>
      <c r="B10" s="18"/>
      <c r="C10" s="18"/>
      <c r="D10" s="19">
        <f>IF(A10=[1]Tallgrunnlag!$A$3,[1]Tallgrunnlag!$B$3,IF(A10=[1]Tallgrunnlag!$A$4,[1]Tallgrunnlag!$B$4,IF(A10=[1]Tallgrunnlag!$A$5,[1]Tallgrunnlag!$B$5,IF(A10=[1]Tallgrunnlag!$A$6,[1]Tallgrunnlag!$B$6,IF(A10=[1]Tallgrunnlag!$A$7,[1]Tallgrunnlag!$B$7)))))+IF(A10=[1]Tallgrunnlag!$A$8,[1]Tallgrunnlag!$B$8,IF(A10=[1]Tallgrunnlag!$A$9,[1]Tallgrunnlag!$B$9,IF(A10=[1]Tallgrunnlag!$A$10,[1]Tallgrunnlag!$B$10,IF(A10=[1]Tallgrunnlag!$A$11,[1]Tallgrunnlag!$B$11,IF(A10=[1]Tallgrunnlag!$A$12,[1]Tallgrunnlag!$B$12,IF(A10=[1]Tallgrunnlag!$A$13,[1]Tallgrunnlag!$B$13,IF(A10=[1]Tallgrunnlag!$A$14,[1]Tallgrunnlag!$B$14,IF(A10=[1]Tallgrunnlag!$A$15,[1]Tallgrunnlag!$B$15,IF(A10=[1]Tallgrunnlag!$A$16,[1]Tallgrunnlag!$B$16,IF(A10=[1]Tallgrunnlag!$A$17,[1]Tallgrunnlag!$B$17,IF(A10=[1]Tallgrunnlag!$A$18,[1]Tallgrunnlag!$B$18,IF(A10=[1]Tallgrunnlag!$A$19,[1]Tallgrunnlag!$B$19,IF(A10=[1]Tallgrunnlag!$A$20,[1]Tallgrunnlag!$B$20,IF(A10=[1]Tallgrunnlag!$A$21,[1]Tallgrunnlag!$B$21,IF(A10=[1]Tallgrunnlag!$A$22,[1]Tallgrunnlag!$B$22,IF(A10=[1]Tallgrunnlag!$A$23,[1]Tallgrunnlag!$B$23,IF(A10=[1]Tallgrunnlag!$A$24,[1]Tallgrunnlag!$B$24,IF(A10=[1]Tallgrunnlag!$A$25,[1]Tallgrunnlag!$B$25,IF(A10=[1]Tallgrunnlag!$A$26,[1]Tallgrunnlag!$B$26,IF(A10=[1]Tallgrunnlag!$A$27,[1]Tallgrunnlag!$B$27,IF(A10=[1]Tallgrunnlag!$A$28,[1]Tallgrunnlag!$B$28,IF(A10=[1]Tallgrunnlag!$A$29,[1]Tallgrunnlag!$B$29,))))))))))))))))))))))</f>
        <v>0</v>
      </c>
      <c r="E10" s="20" t="b">
        <f>IF(B10=8,IF(A10=[1]Tallgrunnlag!$A$3,[1]Tallgrunnlag!$D$3,IF(A10=[1]Tallgrunnlag!$A$4,[1]Tallgrunnlag!$D$4,IF(A10=[1]Tallgrunnlag!$A$5,[1]Tallgrunnlag!$D$5,IF(A10=[1]Tallgrunnlag!$A$6,[1]Tallgrunnlag!$D$6,IF(A10=[1]Tallgrunnlag!$A$7,[1]Tallgrunnlag!$D$7)))))+IF(A10=[1]Tallgrunnlag!$A$8,[1]Tallgrunnlag!$D$8,IF(A10=[1]Tallgrunnlag!$A$9,[1]Tallgrunnlag!$D$9,IF(A10=[1]Tallgrunnlag!$A$10,[1]Tallgrunnlag!$D$10,IF(A10=[1]Tallgrunnlag!$A$11,[1]Tallgrunnlag!$D$11,IF(A10=[1]Tallgrunnlag!$A$12,[1]Tallgrunnlag!$D$12,IF(A10=[1]Tallgrunnlag!$A$13,[1]Tallgrunnlag!$D$13,IF(A10=[1]Tallgrunnlag!$A$14,[1]Tallgrunnlag!$D$14,IF(A10=[1]Tallgrunnlag!$A$15,[1]Tallgrunnlag!$D$15,IF(A10=[1]Tallgrunnlag!$A$16,[1]Tallgrunnlag!$D$16,IF(A10=[1]Tallgrunnlag!$A$17,[1]Tallgrunnlag!$D$17,IF(A10=[1]Tallgrunnlag!$A$18,[1]Tallgrunnlag!$D$18,IF(A10=[1]Tallgrunnlag!$A$19,[1]Tallgrunnlag!$D$19,IF(A10=[1]Tallgrunnlag!$A$20,[1]Tallgrunnlag!$D$20,IF(A10=[1]Tallgrunnlag!$A$21,[1]Tallgrunnlag!$D$21,IF(A10=[1]Tallgrunnlag!$A$22,[1]Tallgrunnlag!$D$22,IF(A10=[1]Tallgrunnlag!$A$23,[1]Tallgrunnlag!$D$23,IF(A10=[1]Tallgrunnlag!$A$24,[1]Tallgrunnlag!$D$24,IF(A10=[1]Tallgrunnlag!$A$25,[1]Tallgrunnlag!$D$25,IF(A10=[1]Tallgrunnlag!$A$26,[1]Tallgrunnlag!$D$26,IF(A10=[1]Tallgrunnlag!$A$27,[1]Tallgrunnlag!$D$27,IF(A10=[1]Tallgrunnlag!$A$28,[1]Tallgrunnlag!$D$28,IF(A10=[1]Tallgrunnlag!$A$29,[1]Tallgrunnlag!$D$29,)))))))))))))))))))))))</f>
        <v>0</v>
      </c>
      <c r="F10" s="20" t="b">
        <f>IF(B10=9,IF(A10=[1]Tallgrunnlag!$A$3,[1]Tallgrunnlag!$E$3,IF(A10=[1]Tallgrunnlag!$A$4,[1]Tallgrunnlag!$E$4,IF(A10=[1]Tallgrunnlag!$A$5,[1]Tallgrunnlag!$E$5,IF(A10=[1]Tallgrunnlag!$A$6,[1]Tallgrunnlag!$E$6,IF(A10=[1]Tallgrunnlag!$A$7,[1]Tallgrunnlag!$E$7)))))+IF(A10=[1]Tallgrunnlag!$A$8,[1]Tallgrunnlag!$E$8,IF(A10=[1]Tallgrunnlag!$A$9,[1]Tallgrunnlag!$E$9,IF(A10=[1]Tallgrunnlag!$A$10,[1]Tallgrunnlag!$E$10,IF(A10=[1]Tallgrunnlag!$A$11,[1]Tallgrunnlag!$E$11,IF(A10=[1]Tallgrunnlag!$A$12,[1]Tallgrunnlag!$E$12,IF(A10=[1]Tallgrunnlag!$A$13,[1]Tallgrunnlag!$E$13,IF(A10=[1]Tallgrunnlag!$A$14,[1]Tallgrunnlag!$E$14,IF(A10=[1]Tallgrunnlag!$A$15,[1]Tallgrunnlag!$E$15,IF(A10=[1]Tallgrunnlag!$A$16,[1]Tallgrunnlag!$E$16,IF(A10=[1]Tallgrunnlag!$A$17,[1]Tallgrunnlag!$E$17,IF(A10=[1]Tallgrunnlag!$A$18,[1]Tallgrunnlag!$E$18,IF(A10=[1]Tallgrunnlag!$A$19,[1]Tallgrunnlag!$E$19,IF(A10=[1]Tallgrunnlag!$A$20,[1]Tallgrunnlag!$E$20,IF(A10=[1]Tallgrunnlag!$A$21,[1]Tallgrunnlag!$E$21,IF(A10=[1]Tallgrunnlag!$A$22,[1]Tallgrunnlag!$E$22,IF(A10=[1]Tallgrunnlag!$A$23,[1]Tallgrunnlag!$E$23,IF(A10=[1]Tallgrunnlag!$A$24,[1]Tallgrunnlag!$E$24,IF(A10=[1]Tallgrunnlag!$A$25,[1]Tallgrunnlag!$E$25,IF(A10=[1]Tallgrunnlag!$A$26,[1]Tallgrunnlag!$E$26,IF(A10=[1]Tallgrunnlag!$A$27,[1]Tallgrunnlag!$E$27,IF(A10=[1]Tallgrunnlag!$A$28,[1]Tallgrunnlag!$E$28,IF(A10=[1]Tallgrunnlag!$A$29,[1]Tallgrunnlag!$E$29,)))))))))))))))))))))))</f>
        <v>0</v>
      </c>
      <c r="G10" s="20" t="b">
        <f>IF(B10=10,IF(A10=[1]Tallgrunnlag!$A$3,[1]Tallgrunnlag!$F$3,IF(A10=[1]Tallgrunnlag!$A$4,[1]Tallgrunnlag!$F$4,IF(A10=[1]Tallgrunnlag!$A$5,[1]Tallgrunnlag!$F$5,IF(A10=[1]Tallgrunnlag!$A$6,[1]Tallgrunnlag!$F$6,IF(A10=[1]Tallgrunnlag!$A$7,[1]Tallgrunnlag!$F$7)))))+IF(A10=[1]Tallgrunnlag!$A$8,[1]Tallgrunnlag!$F$8,IF(A10=[1]Tallgrunnlag!$A$9,[1]Tallgrunnlag!$F$9,IF(A10=[1]Tallgrunnlag!$A$10,[1]Tallgrunnlag!$F$10,IF(A10=[1]Tallgrunnlag!$A$11,[1]Tallgrunnlag!$F$11,IF(A10=[1]Tallgrunnlag!$A$12,[1]Tallgrunnlag!$F$12,IF(A10=[1]Tallgrunnlag!$A$13,[1]Tallgrunnlag!$F$13,IF(A10=[1]Tallgrunnlag!$A$14,[1]Tallgrunnlag!$F$14,IF(A10=[1]Tallgrunnlag!$A$15,[1]Tallgrunnlag!$F$15,IF(A10=[1]Tallgrunnlag!$A$16,[1]Tallgrunnlag!$F$16,IF(A10=[1]Tallgrunnlag!$A$17,[1]Tallgrunnlag!$F$17,IF(A10=[1]Tallgrunnlag!$A$18,[1]Tallgrunnlag!$F$18,IF(A10=[1]Tallgrunnlag!$A$19,[1]Tallgrunnlag!$F$19,IF(A10=[1]Tallgrunnlag!$A$20,[1]Tallgrunnlag!$F$20,IF(A10=[1]Tallgrunnlag!$A$21,[1]Tallgrunnlag!$F$21,IF(A10=[1]Tallgrunnlag!$A$22,[1]Tallgrunnlag!$F$22,IF(A10=[1]Tallgrunnlag!$A$23,[1]Tallgrunnlag!$F$23,IF(A10=[1]Tallgrunnlag!$A$24,[1]Tallgrunnlag!$F$24,IF(A10=[1]Tallgrunnlag!$A$25,[1]Tallgrunnlag!$F$25,IF(A10=[1]Tallgrunnlag!$A$26,[1]Tallgrunnlag!$F$26,IF(A10=[1]Tallgrunnlag!$A$27,[1]Tallgrunnlag!$F$27,IF(A10=[1]Tallgrunnlag!$A$28,[1]Tallgrunnlag!$F$28,IF(A10=[1]Tallgrunnlag!$A$29,[1]Tallgrunnlag!$F$29,)))))))))))))))))))))))</f>
        <v>0</v>
      </c>
      <c r="H10" s="20" t="str">
        <f>IF(A10=[1]Tallgrunnlag!$A$22,[1]Tallgrunnlag!$C$22/3-E36-E37-E38-E39,"")</f>
        <v/>
      </c>
      <c r="I10" s="20" t="str">
        <f>IF(A10="","",IF(A10=[1]Tallgrunnlag!$A$22,H10,IF(C10=[1]Tallgrunnlag!$B$92,((E10+F10+G10)*5),IF(C10=[1]Tallgrunnlag!$B$93,((E10+F10+G10)*4),E10+F10+G10))))</f>
        <v/>
      </c>
      <c r="J10" s="20" t="str">
        <f t="shared" si="0"/>
        <v/>
      </c>
      <c r="K10" s="21" t="str">
        <f>IF(A10="","",IF(A10=[1]Tallgrunnlag!$A$22,J10/D10,J10/D10))</f>
        <v/>
      </c>
      <c r="M10" s="29" t="s">
        <v>45</v>
      </c>
      <c r="N10" s="30">
        <f>[1]Tallgrunnlag!B54*$M$1</f>
        <v>1187.5</v>
      </c>
      <c r="O10" s="30">
        <f t="shared" si="1"/>
        <v>31.25</v>
      </c>
    </row>
    <row r="11" spans="1:20" x14ac:dyDescent="0.25">
      <c r="A11" s="18"/>
      <c r="B11" s="18"/>
      <c r="C11" s="18"/>
      <c r="D11" s="19">
        <f>IF(A11=[1]Tallgrunnlag!$A$3,[1]Tallgrunnlag!$B$3,IF(A11=[1]Tallgrunnlag!$A$4,[1]Tallgrunnlag!$B$4,IF(A11=[1]Tallgrunnlag!$A$5,[1]Tallgrunnlag!$B$5,IF(A11=[1]Tallgrunnlag!$A$6,[1]Tallgrunnlag!$B$6,IF(A11=[1]Tallgrunnlag!$A$7,[1]Tallgrunnlag!$B$7)))))+IF(A11=[1]Tallgrunnlag!$A$8,[1]Tallgrunnlag!$B$8,IF(A11=[1]Tallgrunnlag!$A$9,[1]Tallgrunnlag!$B$9,IF(A11=[1]Tallgrunnlag!$A$10,[1]Tallgrunnlag!$B$10,IF(A11=[1]Tallgrunnlag!$A$11,[1]Tallgrunnlag!$B$11,IF(A11=[1]Tallgrunnlag!$A$12,[1]Tallgrunnlag!$B$12,IF(A11=[1]Tallgrunnlag!$A$13,[1]Tallgrunnlag!$B$13,IF(A11=[1]Tallgrunnlag!$A$14,[1]Tallgrunnlag!$B$14,IF(A11=[1]Tallgrunnlag!$A$15,[1]Tallgrunnlag!$B$15,IF(A11=[1]Tallgrunnlag!$A$16,[1]Tallgrunnlag!$B$16,IF(A11=[1]Tallgrunnlag!$A$17,[1]Tallgrunnlag!$B$17,IF(A11=[1]Tallgrunnlag!$A$18,[1]Tallgrunnlag!$B$18,IF(A11=[1]Tallgrunnlag!$A$19,[1]Tallgrunnlag!$B$19,IF(A11=[1]Tallgrunnlag!$A$20,[1]Tallgrunnlag!$B$20,IF(A11=[1]Tallgrunnlag!$A$21,[1]Tallgrunnlag!$B$21,IF(A11=[1]Tallgrunnlag!$A$22,[1]Tallgrunnlag!$B$22,IF(A11=[1]Tallgrunnlag!$A$23,[1]Tallgrunnlag!$B$23,IF(A11=[1]Tallgrunnlag!$A$24,[1]Tallgrunnlag!$B$24,IF(A11=[1]Tallgrunnlag!$A$25,[1]Tallgrunnlag!$B$25,IF(A11=[1]Tallgrunnlag!$A$26,[1]Tallgrunnlag!$B$26,IF(A11=[1]Tallgrunnlag!$A$27,[1]Tallgrunnlag!$B$27,IF(A11=[1]Tallgrunnlag!$A$28,[1]Tallgrunnlag!$B$28,IF(A11=[1]Tallgrunnlag!$A$29,[1]Tallgrunnlag!$B$29,))))))))))))))))))))))</f>
        <v>0</v>
      </c>
      <c r="E11" s="20" t="b">
        <f>IF(B11=8,IF(A11=[1]Tallgrunnlag!$A$3,[1]Tallgrunnlag!$D$3,IF(A11=[1]Tallgrunnlag!$A$4,[1]Tallgrunnlag!$D$4,IF(A11=[1]Tallgrunnlag!$A$5,[1]Tallgrunnlag!$D$5,IF(A11=[1]Tallgrunnlag!$A$6,[1]Tallgrunnlag!$D$6,IF(A11=[1]Tallgrunnlag!$A$7,[1]Tallgrunnlag!$D$7)))))+IF(A11=[1]Tallgrunnlag!$A$8,[1]Tallgrunnlag!$D$8,IF(A11=[1]Tallgrunnlag!$A$9,[1]Tallgrunnlag!$D$9,IF(A11=[1]Tallgrunnlag!$A$10,[1]Tallgrunnlag!$D$10,IF(A11=[1]Tallgrunnlag!$A$11,[1]Tallgrunnlag!$D$11,IF(A11=[1]Tallgrunnlag!$A$12,[1]Tallgrunnlag!$D$12,IF(A11=[1]Tallgrunnlag!$A$13,[1]Tallgrunnlag!$D$13,IF(A11=[1]Tallgrunnlag!$A$14,[1]Tallgrunnlag!$D$14,IF(A11=[1]Tallgrunnlag!$A$15,[1]Tallgrunnlag!$D$15,IF(A11=[1]Tallgrunnlag!$A$16,[1]Tallgrunnlag!$D$16,IF(A11=[1]Tallgrunnlag!$A$17,[1]Tallgrunnlag!$D$17,IF(A11=[1]Tallgrunnlag!$A$18,[1]Tallgrunnlag!$D$18,IF(A11=[1]Tallgrunnlag!$A$19,[1]Tallgrunnlag!$D$19,IF(A11=[1]Tallgrunnlag!$A$20,[1]Tallgrunnlag!$D$20,IF(A11=[1]Tallgrunnlag!$A$21,[1]Tallgrunnlag!$D$21,IF(A11=[1]Tallgrunnlag!$A$22,[1]Tallgrunnlag!$D$22,IF(A11=[1]Tallgrunnlag!$A$23,[1]Tallgrunnlag!$D$23,IF(A11=[1]Tallgrunnlag!$A$24,[1]Tallgrunnlag!$D$24,IF(A11=[1]Tallgrunnlag!$A$25,[1]Tallgrunnlag!$D$25,IF(A11=[1]Tallgrunnlag!$A$26,[1]Tallgrunnlag!$D$26,IF(A11=[1]Tallgrunnlag!$A$27,[1]Tallgrunnlag!$D$27,IF(A11=[1]Tallgrunnlag!$A$28,[1]Tallgrunnlag!$D$28,IF(A11=[1]Tallgrunnlag!$A$29,[1]Tallgrunnlag!$D$29,)))))))))))))))))))))))</f>
        <v>0</v>
      </c>
      <c r="F11" s="20" t="b">
        <f>IF(B11=9,IF(A11=[1]Tallgrunnlag!$A$3,[1]Tallgrunnlag!$E$3,IF(A11=[1]Tallgrunnlag!$A$4,[1]Tallgrunnlag!$E$4,IF(A11=[1]Tallgrunnlag!$A$5,[1]Tallgrunnlag!$E$5,IF(A11=[1]Tallgrunnlag!$A$6,[1]Tallgrunnlag!$E$6,IF(A11=[1]Tallgrunnlag!$A$7,[1]Tallgrunnlag!$E$7)))))+IF(A11=[1]Tallgrunnlag!$A$8,[1]Tallgrunnlag!$E$8,IF(A11=[1]Tallgrunnlag!$A$9,[1]Tallgrunnlag!$E$9,IF(A11=[1]Tallgrunnlag!$A$10,[1]Tallgrunnlag!$E$10,IF(A11=[1]Tallgrunnlag!$A$11,[1]Tallgrunnlag!$E$11,IF(A11=[1]Tallgrunnlag!$A$12,[1]Tallgrunnlag!$E$12,IF(A11=[1]Tallgrunnlag!$A$13,[1]Tallgrunnlag!$E$13,IF(A11=[1]Tallgrunnlag!$A$14,[1]Tallgrunnlag!$E$14,IF(A11=[1]Tallgrunnlag!$A$15,[1]Tallgrunnlag!$E$15,IF(A11=[1]Tallgrunnlag!$A$16,[1]Tallgrunnlag!$E$16,IF(A11=[1]Tallgrunnlag!$A$17,[1]Tallgrunnlag!$E$17,IF(A11=[1]Tallgrunnlag!$A$18,[1]Tallgrunnlag!$E$18,IF(A11=[1]Tallgrunnlag!$A$19,[1]Tallgrunnlag!$E$19,IF(A11=[1]Tallgrunnlag!$A$20,[1]Tallgrunnlag!$E$20,IF(A11=[1]Tallgrunnlag!$A$21,[1]Tallgrunnlag!$E$21,IF(A11=[1]Tallgrunnlag!$A$22,[1]Tallgrunnlag!$E$22,IF(A11=[1]Tallgrunnlag!$A$23,[1]Tallgrunnlag!$E$23,IF(A11=[1]Tallgrunnlag!$A$24,[1]Tallgrunnlag!$E$24,IF(A11=[1]Tallgrunnlag!$A$25,[1]Tallgrunnlag!$E$25,IF(A11=[1]Tallgrunnlag!$A$26,[1]Tallgrunnlag!$E$26,IF(A11=[1]Tallgrunnlag!$A$27,[1]Tallgrunnlag!$E$27,IF(A11=[1]Tallgrunnlag!$A$28,[1]Tallgrunnlag!$E$28,IF(A11=[1]Tallgrunnlag!$A$29,[1]Tallgrunnlag!$E$29,)))))))))))))))))))))))</f>
        <v>0</v>
      </c>
      <c r="G11" s="20" t="b">
        <f>IF(B11=10,IF(A11=[1]Tallgrunnlag!$A$3,[1]Tallgrunnlag!$F$3,IF(A11=[1]Tallgrunnlag!$A$4,[1]Tallgrunnlag!$F$4,IF(A11=[1]Tallgrunnlag!$A$5,[1]Tallgrunnlag!$F$5,IF(A11=[1]Tallgrunnlag!$A$6,[1]Tallgrunnlag!$F$6,IF(A11=[1]Tallgrunnlag!$A$7,[1]Tallgrunnlag!$F$7)))))+IF(A11=[1]Tallgrunnlag!$A$8,[1]Tallgrunnlag!$F$8,IF(A11=[1]Tallgrunnlag!$A$9,[1]Tallgrunnlag!$F$9,IF(A11=[1]Tallgrunnlag!$A$10,[1]Tallgrunnlag!$F$10,IF(A11=[1]Tallgrunnlag!$A$11,[1]Tallgrunnlag!$F$11,IF(A11=[1]Tallgrunnlag!$A$12,[1]Tallgrunnlag!$F$12,IF(A11=[1]Tallgrunnlag!$A$13,[1]Tallgrunnlag!$F$13,IF(A11=[1]Tallgrunnlag!$A$14,[1]Tallgrunnlag!$F$14,IF(A11=[1]Tallgrunnlag!$A$15,[1]Tallgrunnlag!$F$15,IF(A11=[1]Tallgrunnlag!$A$16,[1]Tallgrunnlag!$F$16,IF(A11=[1]Tallgrunnlag!$A$17,[1]Tallgrunnlag!$F$17,IF(A11=[1]Tallgrunnlag!$A$18,[1]Tallgrunnlag!$F$18,IF(A11=[1]Tallgrunnlag!$A$19,[1]Tallgrunnlag!$F$19,IF(A11=[1]Tallgrunnlag!$A$20,[1]Tallgrunnlag!$F$20,IF(A11=[1]Tallgrunnlag!$A$21,[1]Tallgrunnlag!$F$21,IF(A11=[1]Tallgrunnlag!$A$22,[1]Tallgrunnlag!$F$22,IF(A11=[1]Tallgrunnlag!$A$23,[1]Tallgrunnlag!$F$23,IF(A11=[1]Tallgrunnlag!$A$24,[1]Tallgrunnlag!$F$24,IF(A11=[1]Tallgrunnlag!$A$25,[1]Tallgrunnlag!$F$25,IF(A11=[1]Tallgrunnlag!$A$26,[1]Tallgrunnlag!$F$26,IF(A11=[1]Tallgrunnlag!$A$27,[1]Tallgrunnlag!$F$27,IF(A11=[1]Tallgrunnlag!$A$28,[1]Tallgrunnlag!$F$28,IF(A11=[1]Tallgrunnlag!$A$29,[1]Tallgrunnlag!$F$29,)))))))))))))))))))))))</f>
        <v>0</v>
      </c>
      <c r="H11" s="20" t="str">
        <f>IF(A11=[1]Tallgrunnlag!$A$22,[1]Tallgrunnlag!$C$22/3-E37-E38-E39-E40,"")</f>
        <v/>
      </c>
      <c r="I11" s="20" t="str">
        <f>IF(A11="","",IF(A11=[1]Tallgrunnlag!$A$22,H11,IF(C11=[1]Tallgrunnlag!$B$92,((E11+F11+G11)*5),IF(C11=[1]Tallgrunnlag!$B$93,((E11+F11+G11)*4),E11+F11+G11))))</f>
        <v/>
      </c>
      <c r="J11" s="20" t="str">
        <f t="shared" si="0"/>
        <v/>
      </c>
      <c r="K11" s="21" t="str">
        <f>IF(A11="","",IF(A11=[1]Tallgrunnlag!$A$22,J11/D11,J11/D11))</f>
        <v/>
      </c>
      <c r="M11" s="26" t="s">
        <v>28</v>
      </c>
      <c r="N11" s="27">
        <f>J28</f>
        <v>570</v>
      </c>
      <c r="O11" s="27">
        <f t="shared" si="1"/>
        <v>15</v>
      </c>
    </row>
    <row r="12" spans="1:20" x14ac:dyDescent="0.25">
      <c r="A12" s="18"/>
      <c r="B12" s="18"/>
      <c r="C12" s="18"/>
      <c r="D12" s="19">
        <f>IF(A12=[1]Tallgrunnlag!$A$3,[1]Tallgrunnlag!$B$3,IF(A12=[1]Tallgrunnlag!$A$4,[1]Tallgrunnlag!$B$4,IF(A12=[1]Tallgrunnlag!$A$5,[1]Tallgrunnlag!$B$5,IF(A12=[1]Tallgrunnlag!$A$6,[1]Tallgrunnlag!$B$6,IF(A12=[1]Tallgrunnlag!$A$7,[1]Tallgrunnlag!$B$7)))))+IF(A12=[1]Tallgrunnlag!$A$8,[1]Tallgrunnlag!$B$8,IF(A12=[1]Tallgrunnlag!$A$9,[1]Tallgrunnlag!$B$9,IF(A12=[1]Tallgrunnlag!$A$10,[1]Tallgrunnlag!$B$10,IF(A12=[1]Tallgrunnlag!$A$11,[1]Tallgrunnlag!$B$11,IF(A12=[1]Tallgrunnlag!$A$12,[1]Tallgrunnlag!$B$12,IF(A12=[1]Tallgrunnlag!$A$13,[1]Tallgrunnlag!$B$13,IF(A12=[1]Tallgrunnlag!$A$14,[1]Tallgrunnlag!$B$14,IF(A12=[1]Tallgrunnlag!$A$15,[1]Tallgrunnlag!$B$15,IF(A12=[1]Tallgrunnlag!$A$16,[1]Tallgrunnlag!$B$16,IF(A12=[1]Tallgrunnlag!$A$17,[1]Tallgrunnlag!$B$17,IF(A12=[1]Tallgrunnlag!$A$18,[1]Tallgrunnlag!$B$18,IF(A12=[1]Tallgrunnlag!$A$19,[1]Tallgrunnlag!$B$19,IF(A12=[1]Tallgrunnlag!$A$20,[1]Tallgrunnlag!$B$20,IF(A12=[1]Tallgrunnlag!$A$21,[1]Tallgrunnlag!$B$21,IF(A12=[1]Tallgrunnlag!$A$22,[1]Tallgrunnlag!$B$22,IF(A12=[1]Tallgrunnlag!$A$23,[1]Tallgrunnlag!$B$23,IF(A12=[1]Tallgrunnlag!$A$24,[1]Tallgrunnlag!$B$24,IF(A12=[1]Tallgrunnlag!$A$25,[1]Tallgrunnlag!$B$25,IF(A12=[1]Tallgrunnlag!$A$26,[1]Tallgrunnlag!$B$26,IF(A12=[1]Tallgrunnlag!$A$27,[1]Tallgrunnlag!$B$27,IF(A12=[1]Tallgrunnlag!$A$28,[1]Tallgrunnlag!$B$28,IF(A12=[1]Tallgrunnlag!$A$29,[1]Tallgrunnlag!$B$29,))))))))))))))))))))))</f>
        <v>0</v>
      </c>
      <c r="E12" s="20" t="b">
        <f>IF(B12=8,IF(A12=[1]Tallgrunnlag!$A$3,[1]Tallgrunnlag!$D$3,IF(A12=[1]Tallgrunnlag!$A$4,[1]Tallgrunnlag!$D$4,IF(A12=[1]Tallgrunnlag!$A$5,[1]Tallgrunnlag!$D$5,IF(A12=[1]Tallgrunnlag!$A$6,[1]Tallgrunnlag!$D$6,IF(A12=[1]Tallgrunnlag!$A$7,[1]Tallgrunnlag!$D$7)))))+IF(A12=[1]Tallgrunnlag!$A$8,[1]Tallgrunnlag!$D$8,IF(A12=[1]Tallgrunnlag!$A$9,[1]Tallgrunnlag!$D$9,IF(A12=[1]Tallgrunnlag!$A$10,[1]Tallgrunnlag!$D$10,IF(A12=[1]Tallgrunnlag!$A$11,[1]Tallgrunnlag!$D$11,IF(A12=[1]Tallgrunnlag!$A$12,[1]Tallgrunnlag!$D$12,IF(A12=[1]Tallgrunnlag!$A$13,[1]Tallgrunnlag!$D$13,IF(A12=[1]Tallgrunnlag!$A$14,[1]Tallgrunnlag!$D$14,IF(A12=[1]Tallgrunnlag!$A$15,[1]Tallgrunnlag!$D$15,IF(A12=[1]Tallgrunnlag!$A$16,[1]Tallgrunnlag!$D$16,IF(A12=[1]Tallgrunnlag!$A$17,[1]Tallgrunnlag!$D$17,IF(A12=[1]Tallgrunnlag!$A$18,[1]Tallgrunnlag!$D$18,IF(A12=[1]Tallgrunnlag!$A$19,[1]Tallgrunnlag!$D$19,IF(A12=[1]Tallgrunnlag!$A$20,[1]Tallgrunnlag!$D$20,IF(A12=[1]Tallgrunnlag!$A$21,[1]Tallgrunnlag!$D$21,IF(A12=[1]Tallgrunnlag!$A$22,[1]Tallgrunnlag!$D$22,IF(A12=[1]Tallgrunnlag!$A$23,[1]Tallgrunnlag!$D$23,IF(A12=[1]Tallgrunnlag!$A$24,[1]Tallgrunnlag!$D$24,IF(A12=[1]Tallgrunnlag!$A$25,[1]Tallgrunnlag!$D$25,IF(A12=[1]Tallgrunnlag!$A$26,[1]Tallgrunnlag!$D$26,IF(A12=[1]Tallgrunnlag!$A$27,[1]Tallgrunnlag!$D$27,IF(A12=[1]Tallgrunnlag!$A$28,[1]Tallgrunnlag!$D$28,IF(A12=[1]Tallgrunnlag!$A$29,[1]Tallgrunnlag!$D$29,)))))))))))))))))))))))</f>
        <v>0</v>
      </c>
      <c r="F12" s="20" t="b">
        <f>IF(B12=9,IF(A12=[1]Tallgrunnlag!$A$3,[1]Tallgrunnlag!$E$3,IF(A12=[1]Tallgrunnlag!$A$4,[1]Tallgrunnlag!$E$4,IF(A12=[1]Tallgrunnlag!$A$5,[1]Tallgrunnlag!$E$5,IF(A12=[1]Tallgrunnlag!$A$6,[1]Tallgrunnlag!$E$6,IF(A12=[1]Tallgrunnlag!$A$7,[1]Tallgrunnlag!$E$7)))))+IF(A12=[1]Tallgrunnlag!$A$8,[1]Tallgrunnlag!$E$8,IF(A12=[1]Tallgrunnlag!$A$9,[1]Tallgrunnlag!$E$9,IF(A12=[1]Tallgrunnlag!$A$10,[1]Tallgrunnlag!$E$10,IF(A12=[1]Tallgrunnlag!$A$11,[1]Tallgrunnlag!$E$11,IF(A12=[1]Tallgrunnlag!$A$12,[1]Tallgrunnlag!$E$12,IF(A12=[1]Tallgrunnlag!$A$13,[1]Tallgrunnlag!$E$13,IF(A12=[1]Tallgrunnlag!$A$14,[1]Tallgrunnlag!$E$14,IF(A12=[1]Tallgrunnlag!$A$15,[1]Tallgrunnlag!$E$15,IF(A12=[1]Tallgrunnlag!$A$16,[1]Tallgrunnlag!$E$16,IF(A12=[1]Tallgrunnlag!$A$17,[1]Tallgrunnlag!$E$17,IF(A12=[1]Tallgrunnlag!$A$18,[1]Tallgrunnlag!$E$18,IF(A12=[1]Tallgrunnlag!$A$19,[1]Tallgrunnlag!$E$19,IF(A12=[1]Tallgrunnlag!$A$20,[1]Tallgrunnlag!$E$20,IF(A12=[1]Tallgrunnlag!$A$21,[1]Tallgrunnlag!$E$21,IF(A12=[1]Tallgrunnlag!$A$22,[1]Tallgrunnlag!$E$22,IF(A12=[1]Tallgrunnlag!$A$23,[1]Tallgrunnlag!$E$23,IF(A12=[1]Tallgrunnlag!$A$24,[1]Tallgrunnlag!$E$24,IF(A12=[1]Tallgrunnlag!$A$25,[1]Tallgrunnlag!$E$25,IF(A12=[1]Tallgrunnlag!$A$26,[1]Tallgrunnlag!$E$26,IF(A12=[1]Tallgrunnlag!$A$27,[1]Tallgrunnlag!$E$27,IF(A12=[1]Tallgrunnlag!$A$28,[1]Tallgrunnlag!$E$28,IF(A12=[1]Tallgrunnlag!$A$29,[1]Tallgrunnlag!$E$29,)))))))))))))))))))))))</f>
        <v>0</v>
      </c>
      <c r="G12" s="20" t="b">
        <f>IF(B12=10,IF(A12=[1]Tallgrunnlag!$A$3,[1]Tallgrunnlag!$F$3,IF(A12=[1]Tallgrunnlag!$A$4,[1]Tallgrunnlag!$F$4,IF(A12=[1]Tallgrunnlag!$A$5,[1]Tallgrunnlag!$F$5,IF(A12=[1]Tallgrunnlag!$A$6,[1]Tallgrunnlag!$F$6,IF(A12=[1]Tallgrunnlag!$A$7,[1]Tallgrunnlag!$F$7)))))+IF(A12=[1]Tallgrunnlag!$A$8,[1]Tallgrunnlag!$F$8,IF(A12=[1]Tallgrunnlag!$A$9,[1]Tallgrunnlag!$F$9,IF(A12=[1]Tallgrunnlag!$A$10,[1]Tallgrunnlag!$F$10,IF(A12=[1]Tallgrunnlag!$A$11,[1]Tallgrunnlag!$F$11,IF(A12=[1]Tallgrunnlag!$A$12,[1]Tallgrunnlag!$F$12,IF(A12=[1]Tallgrunnlag!$A$13,[1]Tallgrunnlag!$F$13,IF(A12=[1]Tallgrunnlag!$A$14,[1]Tallgrunnlag!$F$14,IF(A12=[1]Tallgrunnlag!$A$15,[1]Tallgrunnlag!$F$15,IF(A12=[1]Tallgrunnlag!$A$16,[1]Tallgrunnlag!$F$16,IF(A12=[1]Tallgrunnlag!$A$17,[1]Tallgrunnlag!$F$17,IF(A12=[1]Tallgrunnlag!$A$18,[1]Tallgrunnlag!$F$18,IF(A12=[1]Tallgrunnlag!$A$19,[1]Tallgrunnlag!$F$19,IF(A12=[1]Tallgrunnlag!$A$20,[1]Tallgrunnlag!$F$20,IF(A12=[1]Tallgrunnlag!$A$21,[1]Tallgrunnlag!$F$21,IF(A12=[1]Tallgrunnlag!$A$22,[1]Tallgrunnlag!$F$22,IF(A12=[1]Tallgrunnlag!$A$23,[1]Tallgrunnlag!$F$23,IF(A12=[1]Tallgrunnlag!$A$24,[1]Tallgrunnlag!$F$24,IF(A12=[1]Tallgrunnlag!$A$25,[1]Tallgrunnlag!$F$25,IF(A12=[1]Tallgrunnlag!$A$26,[1]Tallgrunnlag!$F$26,IF(A12=[1]Tallgrunnlag!$A$27,[1]Tallgrunnlag!$F$27,IF(A12=[1]Tallgrunnlag!$A$28,[1]Tallgrunnlag!$F$28,IF(A12=[1]Tallgrunnlag!$A$29,[1]Tallgrunnlag!$F$29,)))))))))))))))))))))))</f>
        <v>0</v>
      </c>
      <c r="H12" s="20" t="str">
        <f>IF(A12=[1]Tallgrunnlag!$A$22,[1]Tallgrunnlag!$C$22/3-E38-E39-E40-E41,"")</f>
        <v/>
      </c>
      <c r="I12" s="20" t="str">
        <f>IF(A12="","",IF(A12=[1]Tallgrunnlag!$A$22,H12,IF(C12=[1]Tallgrunnlag!$B$92,((E12+F12+G12)*5),IF(C12=[1]Tallgrunnlag!$B$93,((E12+F12+G12)*4),E12+F12+G12))))</f>
        <v/>
      </c>
      <c r="J12" s="20" t="str">
        <f t="shared" si="0"/>
        <v/>
      </c>
      <c r="K12" s="21" t="str">
        <f>IF(A12="","",IF(A12=[1]Tallgrunnlag!$A$22,J12/D12,J12/D12))</f>
        <v/>
      </c>
      <c r="M12" s="31" t="s">
        <v>46</v>
      </c>
      <c r="N12" s="32">
        <f>J36</f>
        <v>88.54</v>
      </c>
      <c r="O12" s="32">
        <f t="shared" si="1"/>
        <v>2.33</v>
      </c>
    </row>
    <row r="13" spans="1:20" x14ac:dyDescent="0.25">
      <c r="A13" s="18"/>
      <c r="B13" s="18"/>
      <c r="C13" s="18"/>
      <c r="D13" s="19">
        <f>IF(A13=[1]Tallgrunnlag!$A$3,[1]Tallgrunnlag!$B$3,IF(A13=[1]Tallgrunnlag!$A$4,[1]Tallgrunnlag!$B$4,IF(A13=[1]Tallgrunnlag!$A$5,[1]Tallgrunnlag!$B$5,IF(A13=[1]Tallgrunnlag!$A$6,[1]Tallgrunnlag!$B$6,IF(A13=[1]Tallgrunnlag!$A$7,[1]Tallgrunnlag!$B$7)))))+IF(A13=[1]Tallgrunnlag!$A$8,[1]Tallgrunnlag!$B$8,IF(A13=[1]Tallgrunnlag!$A$9,[1]Tallgrunnlag!$B$9,IF(A13=[1]Tallgrunnlag!$A$10,[1]Tallgrunnlag!$B$10,IF(A13=[1]Tallgrunnlag!$A$11,[1]Tallgrunnlag!$B$11,IF(A13=[1]Tallgrunnlag!$A$12,[1]Tallgrunnlag!$B$12,IF(A13=[1]Tallgrunnlag!$A$13,[1]Tallgrunnlag!$B$13,IF(A13=[1]Tallgrunnlag!$A$14,[1]Tallgrunnlag!$B$14,IF(A13=[1]Tallgrunnlag!$A$15,[1]Tallgrunnlag!$B$15,IF(A13=[1]Tallgrunnlag!$A$16,[1]Tallgrunnlag!$B$16,IF(A13=[1]Tallgrunnlag!$A$17,[1]Tallgrunnlag!$B$17,IF(A13=[1]Tallgrunnlag!$A$18,[1]Tallgrunnlag!$B$18,IF(A13=[1]Tallgrunnlag!$A$19,[1]Tallgrunnlag!$B$19,IF(A13=[1]Tallgrunnlag!$A$20,[1]Tallgrunnlag!$B$20,IF(A13=[1]Tallgrunnlag!$A$21,[1]Tallgrunnlag!$B$21,IF(A13=[1]Tallgrunnlag!$A$22,[1]Tallgrunnlag!$B$22,IF(A13=[1]Tallgrunnlag!$A$23,[1]Tallgrunnlag!$B$23,IF(A13=[1]Tallgrunnlag!$A$24,[1]Tallgrunnlag!$B$24,IF(A13=[1]Tallgrunnlag!$A$25,[1]Tallgrunnlag!$B$25,IF(A13=[1]Tallgrunnlag!$A$26,[1]Tallgrunnlag!$B$26,IF(A13=[1]Tallgrunnlag!$A$27,[1]Tallgrunnlag!$B$27,IF(A13=[1]Tallgrunnlag!$A$28,[1]Tallgrunnlag!$B$28,IF(A13=[1]Tallgrunnlag!$A$29,[1]Tallgrunnlag!$B$29,))))))))))))))))))))))</f>
        <v>0</v>
      </c>
      <c r="E13" s="20" t="b">
        <f>IF(B13=8,IF(A13=[1]Tallgrunnlag!$A$3,[1]Tallgrunnlag!$D$3,IF(A13=[1]Tallgrunnlag!$A$4,[1]Tallgrunnlag!$D$4,IF(A13=[1]Tallgrunnlag!$A$5,[1]Tallgrunnlag!$D$5,IF(A13=[1]Tallgrunnlag!$A$6,[1]Tallgrunnlag!$D$6,IF(A13=[1]Tallgrunnlag!$A$7,[1]Tallgrunnlag!$D$7)))))+IF(A13=[1]Tallgrunnlag!$A$8,[1]Tallgrunnlag!$D$8,IF(A13=[1]Tallgrunnlag!$A$9,[1]Tallgrunnlag!$D$9,IF(A13=[1]Tallgrunnlag!$A$10,[1]Tallgrunnlag!$D$10,IF(A13=[1]Tallgrunnlag!$A$11,[1]Tallgrunnlag!$D$11,IF(A13=[1]Tallgrunnlag!$A$12,[1]Tallgrunnlag!$D$12,IF(A13=[1]Tallgrunnlag!$A$13,[1]Tallgrunnlag!$D$13,IF(A13=[1]Tallgrunnlag!$A$14,[1]Tallgrunnlag!$D$14,IF(A13=[1]Tallgrunnlag!$A$15,[1]Tallgrunnlag!$D$15,IF(A13=[1]Tallgrunnlag!$A$16,[1]Tallgrunnlag!$D$16,IF(A13=[1]Tallgrunnlag!$A$17,[1]Tallgrunnlag!$D$17,IF(A13=[1]Tallgrunnlag!$A$18,[1]Tallgrunnlag!$D$18,IF(A13=[1]Tallgrunnlag!$A$19,[1]Tallgrunnlag!$D$19,IF(A13=[1]Tallgrunnlag!$A$20,[1]Tallgrunnlag!$D$20,IF(A13=[1]Tallgrunnlag!$A$21,[1]Tallgrunnlag!$D$21,IF(A13=[1]Tallgrunnlag!$A$22,[1]Tallgrunnlag!$D$22,IF(A13=[1]Tallgrunnlag!$A$23,[1]Tallgrunnlag!$D$23,IF(A13=[1]Tallgrunnlag!$A$24,[1]Tallgrunnlag!$D$24,IF(A13=[1]Tallgrunnlag!$A$25,[1]Tallgrunnlag!$D$25,IF(A13=[1]Tallgrunnlag!$A$26,[1]Tallgrunnlag!$D$26,IF(A13=[1]Tallgrunnlag!$A$27,[1]Tallgrunnlag!$D$27,IF(A13=[1]Tallgrunnlag!$A$28,[1]Tallgrunnlag!$D$28,IF(A13=[1]Tallgrunnlag!$A$29,[1]Tallgrunnlag!$D$29,)))))))))))))))))))))))</f>
        <v>0</v>
      </c>
      <c r="F13" s="20" t="b">
        <f>IF(B13=9,IF(A13=[1]Tallgrunnlag!$A$3,[1]Tallgrunnlag!$E$3,IF(A13=[1]Tallgrunnlag!$A$4,[1]Tallgrunnlag!$E$4,IF(A13=[1]Tallgrunnlag!$A$5,[1]Tallgrunnlag!$E$5,IF(A13=[1]Tallgrunnlag!$A$6,[1]Tallgrunnlag!$E$6,IF(A13=[1]Tallgrunnlag!$A$7,[1]Tallgrunnlag!$E$7)))))+IF(A13=[1]Tallgrunnlag!$A$8,[1]Tallgrunnlag!$E$8,IF(A13=[1]Tallgrunnlag!$A$9,[1]Tallgrunnlag!$E$9,IF(A13=[1]Tallgrunnlag!$A$10,[1]Tallgrunnlag!$E$10,IF(A13=[1]Tallgrunnlag!$A$11,[1]Tallgrunnlag!$E$11,IF(A13=[1]Tallgrunnlag!$A$12,[1]Tallgrunnlag!$E$12,IF(A13=[1]Tallgrunnlag!$A$13,[1]Tallgrunnlag!$E$13,IF(A13=[1]Tallgrunnlag!$A$14,[1]Tallgrunnlag!$E$14,IF(A13=[1]Tallgrunnlag!$A$15,[1]Tallgrunnlag!$E$15,IF(A13=[1]Tallgrunnlag!$A$16,[1]Tallgrunnlag!$E$16,IF(A13=[1]Tallgrunnlag!$A$17,[1]Tallgrunnlag!$E$17,IF(A13=[1]Tallgrunnlag!$A$18,[1]Tallgrunnlag!$E$18,IF(A13=[1]Tallgrunnlag!$A$19,[1]Tallgrunnlag!$E$19,IF(A13=[1]Tallgrunnlag!$A$20,[1]Tallgrunnlag!$E$20,IF(A13=[1]Tallgrunnlag!$A$21,[1]Tallgrunnlag!$E$21,IF(A13=[1]Tallgrunnlag!$A$22,[1]Tallgrunnlag!$E$22,IF(A13=[1]Tallgrunnlag!$A$23,[1]Tallgrunnlag!$E$23,IF(A13=[1]Tallgrunnlag!$A$24,[1]Tallgrunnlag!$E$24,IF(A13=[1]Tallgrunnlag!$A$25,[1]Tallgrunnlag!$E$25,IF(A13=[1]Tallgrunnlag!$A$26,[1]Tallgrunnlag!$E$26,IF(A13=[1]Tallgrunnlag!$A$27,[1]Tallgrunnlag!$E$27,IF(A13=[1]Tallgrunnlag!$A$28,[1]Tallgrunnlag!$E$28,IF(A13=[1]Tallgrunnlag!$A$29,[1]Tallgrunnlag!$E$29,)))))))))))))))))))))))</f>
        <v>0</v>
      </c>
      <c r="G13" s="20" t="b">
        <f>IF(B13=10,IF(A13=[1]Tallgrunnlag!$A$3,[1]Tallgrunnlag!$F$3,IF(A13=[1]Tallgrunnlag!$A$4,[1]Tallgrunnlag!$F$4,IF(A13=[1]Tallgrunnlag!$A$5,[1]Tallgrunnlag!$F$5,IF(A13=[1]Tallgrunnlag!$A$6,[1]Tallgrunnlag!$F$6,IF(A13=[1]Tallgrunnlag!$A$7,[1]Tallgrunnlag!$F$7)))))+IF(A13=[1]Tallgrunnlag!$A$8,[1]Tallgrunnlag!$F$8,IF(A13=[1]Tallgrunnlag!$A$9,[1]Tallgrunnlag!$F$9,IF(A13=[1]Tallgrunnlag!$A$10,[1]Tallgrunnlag!$F$10,IF(A13=[1]Tallgrunnlag!$A$11,[1]Tallgrunnlag!$F$11,IF(A13=[1]Tallgrunnlag!$A$12,[1]Tallgrunnlag!$F$12,IF(A13=[1]Tallgrunnlag!$A$13,[1]Tallgrunnlag!$F$13,IF(A13=[1]Tallgrunnlag!$A$14,[1]Tallgrunnlag!$F$14,IF(A13=[1]Tallgrunnlag!$A$15,[1]Tallgrunnlag!$F$15,IF(A13=[1]Tallgrunnlag!$A$16,[1]Tallgrunnlag!$F$16,IF(A13=[1]Tallgrunnlag!$A$17,[1]Tallgrunnlag!$F$17,IF(A13=[1]Tallgrunnlag!$A$18,[1]Tallgrunnlag!$F$18,IF(A13=[1]Tallgrunnlag!$A$19,[1]Tallgrunnlag!$F$19,IF(A13=[1]Tallgrunnlag!$A$20,[1]Tallgrunnlag!$F$20,IF(A13=[1]Tallgrunnlag!$A$21,[1]Tallgrunnlag!$F$21,IF(A13=[1]Tallgrunnlag!$A$22,[1]Tallgrunnlag!$F$22,IF(A13=[1]Tallgrunnlag!$A$23,[1]Tallgrunnlag!$F$23,IF(A13=[1]Tallgrunnlag!$A$24,[1]Tallgrunnlag!$F$24,IF(A13=[1]Tallgrunnlag!$A$25,[1]Tallgrunnlag!$F$25,IF(A13=[1]Tallgrunnlag!$A$26,[1]Tallgrunnlag!$F$26,IF(A13=[1]Tallgrunnlag!$A$27,[1]Tallgrunnlag!$F$27,IF(A13=[1]Tallgrunnlag!$A$28,[1]Tallgrunnlag!$F$28,IF(A13=[1]Tallgrunnlag!$A$29,[1]Tallgrunnlag!$F$29,)))))))))))))))))))))))</f>
        <v>0</v>
      </c>
      <c r="H13" s="20" t="str">
        <f>IF(A13=[1]Tallgrunnlag!$A$22,[1]Tallgrunnlag!$C$22/3-E38-E39-E40-E41,"")</f>
        <v/>
      </c>
      <c r="I13" s="20" t="str">
        <f>IF(A13="","",IF(A13=[1]Tallgrunnlag!$A$22,H13,IF(C13=[1]Tallgrunnlag!$B$92,((E13+F13+G13)*5),IF(C13=[1]Tallgrunnlag!$B$93,((E13+F13+G13)*4),E13+F13+G13))))</f>
        <v/>
      </c>
      <c r="J13" s="20" t="str">
        <f t="shared" si="0"/>
        <v/>
      </c>
      <c r="K13" s="21" t="str">
        <f>IF(A13="","",IF(A13=[1]Tallgrunnlag!$A$22,J13/D13,J13/D13))</f>
        <v/>
      </c>
      <c r="M13" s="33" t="s">
        <v>47</v>
      </c>
      <c r="N13" s="34">
        <f>N10-N11-N12</f>
        <v>528.96</v>
      </c>
      <c r="O13" s="34">
        <f t="shared" si="1"/>
        <v>13.920000000000002</v>
      </c>
    </row>
    <row r="14" spans="1:20" x14ac:dyDescent="0.25">
      <c r="A14" s="18"/>
      <c r="B14" s="18"/>
      <c r="C14" s="18"/>
      <c r="D14" s="19">
        <f>IF(A14=[1]Tallgrunnlag!$A$3,[1]Tallgrunnlag!$B$3,IF(A14=[1]Tallgrunnlag!$A$4,[1]Tallgrunnlag!$B$4,IF(A14=[1]Tallgrunnlag!$A$5,[1]Tallgrunnlag!$B$5,IF(A14=[1]Tallgrunnlag!$A$6,[1]Tallgrunnlag!$B$6,IF(A14=[1]Tallgrunnlag!$A$7,[1]Tallgrunnlag!$B$7)))))+IF(A14=[1]Tallgrunnlag!$A$8,[1]Tallgrunnlag!$B$8,IF(A14=[1]Tallgrunnlag!$A$9,[1]Tallgrunnlag!$B$9,IF(A14=[1]Tallgrunnlag!$A$10,[1]Tallgrunnlag!$B$10,IF(A14=[1]Tallgrunnlag!$A$11,[1]Tallgrunnlag!$B$11,IF(A14=[1]Tallgrunnlag!$A$12,[1]Tallgrunnlag!$B$12,IF(A14=[1]Tallgrunnlag!$A$13,[1]Tallgrunnlag!$B$13,IF(A14=[1]Tallgrunnlag!$A$14,[1]Tallgrunnlag!$B$14,IF(A14=[1]Tallgrunnlag!$A$15,[1]Tallgrunnlag!$B$15,IF(A14=[1]Tallgrunnlag!$A$16,[1]Tallgrunnlag!$B$16,IF(A14=[1]Tallgrunnlag!$A$17,[1]Tallgrunnlag!$B$17,IF(A14=[1]Tallgrunnlag!$A$18,[1]Tallgrunnlag!$B$18,IF(A14=[1]Tallgrunnlag!$A$19,[1]Tallgrunnlag!$B$19,IF(A14=[1]Tallgrunnlag!$A$20,[1]Tallgrunnlag!$B$20,IF(A14=[1]Tallgrunnlag!$A$21,[1]Tallgrunnlag!$B$21,IF(A14=[1]Tallgrunnlag!$A$22,[1]Tallgrunnlag!$B$22,IF(A14=[1]Tallgrunnlag!$A$23,[1]Tallgrunnlag!$B$23,IF(A14=[1]Tallgrunnlag!$A$24,[1]Tallgrunnlag!$B$24,IF(A14=[1]Tallgrunnlag!$A$25,[1]Tallgrunnlag!$B$25,IF(A14=[1]Tallgrunnlag!$A$26,[1]Tallgrunnlag!$B$26,IF(A14=[1]Tallgrunnlag!$A$27,[1]Tallgrunnlag!$B$27,IF(A14=[1]Tallgrunnlag!$A$28,[1]Tallgrunnlag!$B$28,IF(A14=[1]Tallgrunnlag!$A$29,[1]Tallgrunnlag!$B$29,))))))))))))))))))))))</f>
        <v>0</v>
      </c>
      <c r="E14" s="20" t="b">
        <f>IF(B14=8,IF(A14=[1]Tallgrunnlag!$A$3,[1]Tallgrunnlag!$D$3,IF(A14=[1]Tallgrunnlag!$A$4,[1]Tallgrunnlag!$D$4,IF(A14=[1]Tallgrunnlag!$A$5,[1]Tallgrunnlag!$D$5,IF(A14=[1]Tallgrunnlag!$A$6,[1]Tallgrunnlag!$D$6,IF(A14=[1]Tallgrunnlag!$A$7,[1]Tallgrunnlag!$D$7)))))+IF(A14=[1]Tallgrunnlag!$A$8,[1]Tallgrunnlag!$D$8,IF(A14=[1]Tallgrunnlag!$A$9,[1]Tallgrunnlag!$D$9,IF(A14=[1]Tallgrunnlag!$A$10,[1]Tallgrunnlag!$D$10,IF(A14=[1]Tallgrunnlag!$A$11,[1]Tallgrunnlag!$D$11,IF(A14=[1]Tallgrunnlag!$A$12,[1]Tallgrunnlag!$D$12,IF(A14=[1]Tallgrunnlag!$A$13,[1]Tallgrunnlag!$D$13,IF(A14=[1]Tallgrunnlag!$A$14,[1]Tallgrunnlag!$D$14,IF(A14=[1]Tallgrunnlag!$A$15,[1]Tallgrunnlag!$D$15,IF(A14=[1]Tallgrunnlag!$A$16,[1]Tallgrunnlag!$D$16,IF(A14=[1]Tallgrunnlag!$A$17,[1]Tallgrunnlag!$D$17,IF(A14=[1]Tallgrunnlag!$A$18,[1]Tallgrunnlag!$D$18,IF(A14=[1]Tallgrunnlag!$A$19,[1]Tallgrunnlag!$D$19,IF(A14=[1]Tallgrunnlag!$A$20,[1]Tallgrunnlag!$D$20,IF(A14=[1]Tallgrunnlag!$A$21,[1]Tallgrunnlag!$D$21,IF(A14=[1]Tallgrunnlag!$A$22,[1]Tallgrunnlag!$D$22,IF(A14=[1]Tallgrunnlag!$A$23,[1]Tallgrunnlag!$D$23,IF(A14=[1]Tallgrunnlag!$A$24,[1]Tallgrunnlag!$D$24,IF(A14=[1]Tallgrunnlag!$A$25,[1]Tallgrunnlag!$D$25,IF(A14=[1]Tallgrunnlag!$A$26,[1]Tallgrunnlag!$D$26,IF(A14=[1]Tallgrunnlag!$A$27,[1]Tallgrunnlag!$D$27,IF(A14=[1]Tallgrunnlag!$A$28,[1]Tallgrunnlag!$D$28,IF(A14=[1]Tallgrunnlag!$A$29,[1]Tallgrunnlag!$D$29,)))))))))))))))))))))))</f>
        <v>0</v>
      </c>
      <c r="F14" s="20" t="b">
        <f>IF(B14=9,IF(A14=[1]Tallgrunnlag!$A$3,[1]Tallgrunnlag!$E$3,IF(A14=[1]Tallgrunnlag!$A$4,[1]Tallgrunnlag!$E$4,IF(A14=[1]Tallgrunnlag!$A$5,[1]Tallgrunnlag!$E$5,IF(A14=[1]Tallgrunnlag!$A$6,[1]Tallgrunnlag!$E$6,IF(A14=[1]Tallgrunnlag!$A$7,[1]Tallgrunnlag!$E$7)))))+IF(A14=[1]Tallgrunnlag!$A$8,[1]Tallgrunnlag!$E$8,IF(A14=[1]Tallgrunnlag!$A$9,[1]Tallgrunnlag!$E$9,IF(A14=[1]Tallgrunnlag!$A$10,[1]Tallgrunnlag!$E$10,IF(A14=[1]Tallgrunnlag!$A$11,[1]Tallgrunnlag!$E$11,IF(A14=[1]Tallgrunnlag!$A$12,[1]Tallgrunnlag!$E$12,IF(A14=[1]Tallgrunnlag!$A$13,[1]Tallgrunnlag!$E$13,IF(A14=[1]Tallgrunnlag!$A$14,[1]Tallgrunnlag!$E$14,IF(A14=[1]Tallgrunnlag!$A$15,[1]Tallgrunnlag!$E$15,IF(A14=[1]Tallgrunnlag!$A$16,[1]Tallgrunnlag!$E$16,IF(A14=[1]Tallgrunnlag!$A$17,[1]Tallgrunnlag!$E$17,IF(A14=[1]Tallgrunnlag!$A$18,[1]Tallgrunnlag!$E$18,IF(A14=[1]Tallgrunnlag!$A$19,[1]Tallgrunnlag!$E$19,IF(A14=[1]Tallgrunnlag!$A$20,[1]Tallgrunnlag!$E$20,IF(A14=[1]Tallgrunnlag!$A$21,[1]Tallgrunnlag!$E$21,IF(A14=[1]Tallgrunnlag!$A$22,[1]Tallgrunnlag!$E$22,IF(A14=[1]Tallgrunnlag!$A$23,[1]Tallgrunnlag!$E$23,IF(A14=[1]Tallgrunnlag!$A$24,[1]Tallgrunnlag!$E$24,IF(A14=[1]Tallgrunnlag!$A$25,[1]Tallgrunnlag!$E$25,IF(A14=[1]Tallgrunnlag!$A$26,[1]Tallgrunnlag!$E$26,IF(A14=[1]Tallgrunnlag!$A$27,[1]Tallgrunnlag!$E$27,IF(A14=[1]Tallgrunnlag!$A$28,[1]Tallgrunnlag!$E$28,IF(A14=[1]Tallgrunnlag!$A$29,[1]Tallgrunnlag!$E$29,)))))))))))))))))))))))</f>
        <v>0</v>
      </c>
      <c r="G14" s="20" t="b">
        <f>IF(B14=10,IF(A14=[1]Tallgrunnlag!$A$3,[1]Tallgrunnlag!$F$3,IF(A14=[1]Tallgrunnlag!$A$4,[1]Tallgrunnlag!$F$4,IF(A14=[1]Tallgrunnlag!$A$5,[1]Tallgrunnlag!$F$5,IF(A14=[1]Tallgrunnlag!$A$6,[1]Tallgrunnlag!$F$6,IF(A14=[1]Tallgrunnlag!$A$7,[1]Tallgrunnlag!$F$7)))))+IF(A14=[1]Tallgrunnlag!$A$8,[1]Tallgrunnlag!$F$8,IF(A14=[1]Tallgrunnlag!$A$9,[1]Tallgrunnlag!$F$9,IF(A14=[1]Tallgrunnlag!$A$10,[1]Tallgrunnlag!$F$10,IF(A14=[1]Tallgrunnlag!$A$11,[1]Tallgrunnlag!$F$11,IF(A14=[1]Tallgrunnlag!$A$12,[1]Tallgrunnlag!$F$12,IF(A14=[1]Tallgrunnlag!$A$13,[1]Tallgrunnlag!$F$13,IF(A14=[1]Tallgrunnlag!$A$14,[1]Tallgrunnlag!$F$14,IF(A14=[1]Tallgrunnlag!$A$15,[1]Tallgrunnlag!$F$15,IF(A14=[1]Tallgrunnlag!$A$16,[1]Tallgrunnlag!$F$16,IF(A14=[1]Tallgrunnlag!$A$17,[1]Tallgrunnlag!$F$17,IF(A14=[1]Tallgrunnlag!$A$18,[1]Tallgrunnlag!$F$18,IF(A14=[1]Tallgrunnlag!$A$19,[1]Tallgrunnlag!$F$19,IF(A14=[1]Tallgrunnlag!$A$20,[1]Tallgrunnlag!$F$20,IF(A14=[1]Tallgrunnlag!$A$21,[1]Tallgrunnlag!$F$21,IF(A14=[1]Tallgrunnlag!$A$22,[1]Tallgrunnlag!$F$22,IF(A14=[1]Tallgrunnlag!$A$23,[1]Tallgrunnlag!$F$23,IF(A14=[1]Tallgrunnlag!$A$24,[1]Tallgrunnlag!$F$24,IF(A14=[1]Tallgrunnlag!$A$25,[1]Tallgrunnlag!$F$25,IF(A14=[1]Tallgrunnlag!$A$26,[1]Tallgrunnlag!$F$26,IF(A14=[1]Tallgrunnlag!$A$27,[1]Tallgrunnlag!$F$27,IF(A14=[1]Tallgrunnlag!$A$28,[1]Tallgrunnlag!$F$28,IF(A14=[1]Tallgrunnlag!$A$29,[1]Tallgrunnlag!$F$29,)))))))))))))))))))))))</f>
        <v>0</v>
      </c>
      <c r="H14" s="20" t="str">
        <f>IF(A14=[1]Tallgrunnlag!$A$22,[1]Tallgrunnlag!$C$22/3-E39-E40-E41-E42,"")</f>
        <v/>
      </c>
      <c r="I14" s="20" t="str">
        <f>IF(A14="","",IF(A14=[1]Tallgrunnlag!$A$22,H14,IF(C14=[1]Tallgrunnlag!$B$92,((E14+F14+G14)*5),IF(C14=[1]Tallgrunnlag!$B$93,((E14+F14+G14)*4),E14+F14+G14))))</f>
        <v/>
      </c>
      <c r="J14" s="20" t="str">
        <f t="shared" si="0"/>
        <v/>
      </c>
      <c r="K14" s="21" t="str">
        <f>IF(A14="","",IF(A14=[1]Tallgrunnlag!$A$22,J14/D14,J14/D14))</f>
        <v/>
      </c>
      <c r="M14" s="35" t="s">
        <v>48</v>
      </c>
      <c r="N14" s="36">
        <f>IF(M14="","",IF(M14=[1]Tallgrunnlag!$A$58,[1]Tallgrunnlag!$B$58*$M$1,IF(M14=[1]Tallgrunnlag!$A$59,[1]Tallgrunnlag!$B$59*$M$1,IF(M14=[1]Tallgrunnlag!$A$60,[1]Tallgrunnlag!$B$60*$M$1,IF(M14=[1]Tallgrunnlag!$A$61,[1]Tallgrunnlag!$B$61*$M$1,IF(M14=[1]Tallgrunnlag!$A$62,[1]Tallgrunnlag!$B$62*$M$1,IF(M14=[1]Tallgrunnlag!$A$63,[1]Tallgrunnlag!$B$63*$M$1,IF(M14=[1]Tallgrunnlag!$A$64,[1]Tallgrunnlag!$B$64*$M$1,IF(M14=[1]Tallgrunnlag!$A$65,[1]Tallgrunnlag!$B$65*$M$1,IF(M14=[1]Tallgrunnlag!$A$66,[1]Tallgrunnlag!$B$66*$M$1,IF(M14=[1]Tallgrunnlag!$A$67,[1]Tallgrunnlag!$B$67*$M$1,IF(M14=[1]Tallgrunnlag!$A$68,[1]Tallgrunnlag!$B$68*$M$1,IF(M14=[1]Tallgrunnlag!$A$69,[1]Tallgrunnlag!$B$69*$M$1,IF(M14=[1]Tallgrunnlag!$A$70,[1]Tallgrunnlag!$B$70*$M$1,IF(M14=[1]Tallgrunnlag!$A$71,[1]Tallgrunnlag!$B$71*$M$1,IF(M14=[1]Tallgrunnlag!$A$72,[1]Tallgrunnlag!$B$72*$M$1,IF(M14=[1]Tallgrunnlag!$A$73,[1]Tallgrunnlag!$B$73*$M$1,IF(M14=[1]Tallgrunnlag!$A$74,[1]Tallgrunnlag!$B$74*$M$1,IF(M14=[1]Tallgrunnlag!$A$75,[1]Tallgrunnlag!$B$75*$M$1,IF(M14=[1]Tallgrunnlag!$A$76,[1]Tallgrunnlag!$B$76*$M$1,IF(M14=[1]Tallgrunnlag!$A$77,[1]Tallgrunnlag!$B$77*$M$1,IF(M14=[1]Tallgrunnlag!$A$78,[1]Tallgrunnlag!$B$78*$M$1,IF(M14=[1]Tallgrunnlag!$A$79,[1]Tallgrunnlag!$B$79*$M$1,IF(M14=[1]Tallgrunnlag!$A$82,[1]Tallgrunnlag!$B$82*$M$1))))))))))))))))))))))))</f>
        <v>38</v>
      </c>
      <c r="O14" s="37">
        <f>IF(M14="","",N14/38)</f>
        <v>1</v>
      </c>
    </row>
    <row r="15" spans="1:20" x14ac:dyDescent="0.25">
      <c r="A15" s="18"/>
      <c r="B15" s="18"/>
      <c r="C15" s="18"/>
      <c r="D15" s="19">
        <f>IF(A15=[1]Tallgrunnlag!$A$3,[1]Tallgrunnlag!$B$3,IF(A15=[1]Tallgrunnlag!$A$4,[1]Tallgrunnlag!$B$4,IF(A15=[1]Tallgrunnlag!$A$5,[1]Tallgrunnlag!$B$5,IF(A15=[1]Tallgrunnlag!$A$6,[1]Tallgrunnlag!$B$6,IF(A15=[1]Tallgrunnlag!$A$7,[1]Tallgrunnlag!$B$7)))))+IF(A15=[1]Tallgrunnlag!$A$8,[1]Tallgrunnlag!$B$8,IF(A15=[1]Tallgrunnlag!$A$9,[1]Tallgrunnlag!$B$9,IF(A15=[1]Tallgrunnlag!$A$10,[1]Tallgrunnlag!$B$10,IF(A15=[1]Tallgrunnlag!$A$11,[1]Tallgrunnlag!$B$11,IF(A15=[1]Tallgrunnlag!$A$12,[1]Tallgrunnlag!$B$12,IF(A15=[1]Tallgrunnlag!$A$13,[1]Tallgrunnlag!$B$13,IF(A15=[1]Tallgrunnlag!$A$14,[1]Tallgrunnlag!$B$14,IF(A15=[1]Tallgrunnlag!$A$15,[1]Tallgrunnlag!$B$15,IF(A15=[1]Tallgrunnlag!$A$16,[1]Tallgrunnlag!$B$16,IF(A15=[1]Tallgrunnlag!$A$17,[1]Tallgrunnlag!$B$17,IF(A15=[1]Tallgrunnlag!$A$18,[1]Tallgrunnlag!$B$18,IF(A15=[1]Tallgrunnlag!$A$19,[1]Tallgrunnlag!$B$19,IF(A15=[1]Tallgrunnlag!$A$20,[1]Tallgrunnlag!$B$20,IF(A15=[1]Tallgrunnlag!$A$21,[1]Tallgrunnlag!$B$21,IF(A15=[1]Tallgrunnlag!$A$22,[1]Tallgrunnlag!$B$22,IF(A15=[1]Tallgrunnlag!$A$23,[1]Tallgrunnlag!$B$23,IF(A15=[1]Tallgrunnlag!$A$24,[1]Tallgrunnlag!$B$24,IF(A15=[1]Tallgrunnlag!$A$25,[1]Tallgrunnlag!$B$25,IF(A15=[1]Tallgrunnlag!$A$26,[1]Tallgrunnlag!$B$26,IF(A15=[1]Tallgrunnlag!$A$27,[1]Tallgrunnlag!$B$27,IF(A15=[1]Tallgrunnlag!$A$28,[1]Tallgrunnlag!$B$28,IF(A15=[1]Tallgrunnlag!$A$29,[1]Tallgrunnlag!$B$29,))))))))))))))))))))))</f>
        <v>0</v>
      </c>
      <c r="E15" s="20" t="b">
        <f>IF(B15=8,IF(A15=[1]Tallgrunnlag!$A$3,[1]Tallgrunnlag!$D$3,IF(A15=[1]Tallgrunnlag!$A$4,[1]Tallgrunnlag!$D$4,IF(A15=[1]Tallgrunnlag!$A$5,[1]Tallgrunnlag!$D$5,IF(A15=[1]Tallgrunnlag!$A$6,[1]Tallgrunnlag!$D$6,IF(A15=[1]Tallgrunnlag!$A$7,[1]Tallgrunnlag!$D$7)))))+IF(A15=[1]Tallgrunnlag!$A$8,[1]Tallgrunnlag!$D$8,IF(A15=[1]Tallgrunnlag!$A$9,[1]Tallgrunnlag!$D$9,IF(A15=[1]Tallgrunnlag!$A$10,[1]Tallgrunnlag!$D$10,IF(A15=[1]Tallgrunnlag!$A$11,[1]Tallgrunnlag!$D$11,IF(A15=[1]Tallgrunnlag!$A$12,[1]Tallgrunnlag!$D$12,IF(A15=[1]Tallgrunnlag!$A$13,[1]Tallgrunnlag!$D$13,IF(A15=[1]Tallgrunnlag!$A$14,[1]Tallgrunnlag!$D$14,IF(A15=[1]Tallgrunnlag!$A$15,[1]Tallgrunnlag!$D$15,IF(A15=[1]Tallgrunnlag!$A$16,[1]Tallgrunnlag!$D$16,IF(A15=[1]Tallgrunnlag!$A$17,[1]Tallgrunnlag!$D$17,IF(A15=[1]Tallgrunnlag!$A$18,[1]Tallgrunnlag!$D$18,IF(A15=[1]Tallgrunnlag!$A$19,[1]Tallgrunnlag!$D$19,IF(A15=[1]Tallgrunnlag!$A$20,[1]Tallgrunnlag!$D$20,IF(A15=[1]Tallgrunnlag!$A$21,[1]Tallgrunnlag!$D$21,IF(A15=[1]Tallgrunnlag!$A$22,[1]Tallgrunnlag!$D$22,IF(A15=[1]Tallgrunnlag!$A$23,[1]Tallgrunnlag!$D$23,IF(A15=[1]Tallgrunnlag!$A$24,[1]Tallgrunnlag!$D$24,IF(A15=[1]Tallgrunnlag!$A$25,[1]Tallgrunnlag!$D$25,IF(A15=[1]Tallgrunnlag!$A$26,[1]Tallgrunnlag!$D$26,IF(A15=[1]Tallgrunnlag!$A$27,[1]Tallgrunnlag!$D$27,IF(A15=[1]Tallgrunnlag!$A$28,[1]Tallgrunnlag!$D$28,IF(A15=[1]Tallgrunnlag!$A$29,[1]Tallgrunnlag!$D$29,)))))))))))))))))))))))</f>
        <v>0</v>
      </c>
      <c r="F15" s="20" t="b">
        <f>IF(B15=9,IF(A15=[1]Tallgrunnlag!$A$3,[1]Tallgrunnlag!$E$3,IF(A15=[1]Tallgrunnlag!$A$4,[1]Tallgrunnlag!$E$4,IF(A15=[1]Tallgrunnlag!$A$5,[1]Tallgrunnlag!$E$5,IF(A15=[1]Tallgrunnlag!$A$6,[1]Tallgrunnlag!$E$6,IF(A15=[1]Tallgrunnlag!$A$7,[1]Tallgrunnlag!$E$7)))))+IF(A15=[1]Tallgrunnlag!$A$8,[1]Tallgrunnlag!$E$8,IF(A15=[1]Tallgrunnlag!$A$9,[1]Tallgrunnlag!$E$9,IF(A15=[1]Tallgrunnlag!$A$10,[1]Tallgrunnlag!$E$10,IF(A15=[1]Tallgrunnlag!$A$11,[1]Tallgrunnlag!$E$11,IF(A15=[1]Tallgrunnlag!$A$12,[1]Tallgrunnlag!$E$12,IF(A15=[1]Tallgrunnlag!$A$13,[1]Tallgrunnlag!$E$13,IF(A15=[1]Tallgrunnlag!$A$14,[1]Tallgrunnlag!$E$14,IF(A15=[1]Tallgrunnlag!$A$15,[1]Tallgrunnlag!$E$15,IF(A15=[1]Tallgrunnlag!$A$16,[1]Tallgrunnlag!$E$16,IF(A15=[1]Tallgrunnlag!$A$17,[1]Tallgrunnlag!$E$17,IF(A15=[1]Tallgrunnlag!$A$18,[1]Tallgrunnlag!$E$18,IF(A15=[1]Tallgrunnlag!$A$19,[1]Tallgrunnlag!$E$19,IF(A15=[1]Tallgrunnlag!$A$20,[1]Tallgrunnlag!$E$20,IF(A15=[1]Tallgrunnlag!$A$21,[1]Tallgrunnlag!$E$21,IF(A15=[1]Tallgrunnlag!$A$22,[1]Tallgrunnlag!$E$22,IF(A15=[1]Tallgrunnlag!$A$23,[1]Tallgrunnlag!$E$23,IF(A15=[1]Tallgrunnlag!$A$24,[1]Tallgrunnlag!$E$24,IF(A15=[1]Tallgrunnlag!$A$25,[1]Tallgrunnlag!$E$25,IF(A15=[1]Tallgrunnlag!$A$26,[1]Tallgrunnlag!$E$26,IF(A15=[1]Tallgrunnlag!$A$27,[1]Tallgrunnlag!$E$27,IF(A15=[1]Tallgrunnlag!$A$28,[1]Tallgrunnlag!$E$28,IF(A15=[1]Tallgrunnlag!$A$29,[1]Tallgrunnlag!$E$29,)))))))))))))))))))))))</f>
        <v>0</v>
      </c>
      <c r="G15" s="20" t="b">
        <f>IF(B15=10,IF(A15=[1]Tallgrunnlag!$A$3,[1]Tallgrunnlag!$F$3,IF(A15=[1]Tallgrunnlag!$A$4,[1]Tallgrunnlag!$F$4,IF(A15=[1]Tallgrunnlag!$A$5,[1]Tallgrunnlag!$F$5,IF(A15=[1]Tallgrunnlag!$A$6,[1]Tallgrunnlag!$F$6,IF(A15=[1]Tallgrunnlag!$A$7,[1]Tallgrunnlag!$F$7)))))+IF(A15=[1]Tallgrunnlag!$A$8,[1]Tallgrunnlag!$F$8,IF(A15=[1]Tallgrunnlag!$A$9,[1]Tallgrunnlag!$F$9,IF(A15=[1]Tallgrunnlag!$A$10,[1]Tallgrunnlag!$F$10,IF(A15=[1]Tallgrunnlag!$A$11,[1]Tallgrunnlag!$F$11,IF(A15=[1]Tallgrunnlag!$A$12,[1]Tallgrunnlag!$F$12,IF(A15=[1]Tallgrunnlag!$A$13,[1]Tallgrunnlag!$F$13,IF(A15=[1]Tallgrunnlag!$A$14,[1]Tallgrunnlag!$F$14,IF(A15=[1]Tallgrunnlag!$A$15,[1]Tallgrunnlag!$F$15,IF(A15=[1]Tallgrunnlag!$A$16,[1]Tallgrunnlag!$F$16,IF(A15=[1]Tallgrunnlag!$A$17,[1]Tallgrunnlag!$F$17,IF(A15=[1]Tallgrunnlag!$A$18,[1]Tallgrunnlag!$F$18,IF(A15=[1]Tallgrunnlag!$A$19,[1]Tallgrunnlag!$F$19,IF(A15=[1]Tallgrunnlag!$A$20,[1]Tallgrunnlag!$F$20,IF(A15=[1]Tallgrunnlag!$A$21,[1]Tallgrunnlag!$F$21,IF(A15=[1]Tallgrunnlag!$A$22,[1]Tallgrunnlag!$F$22,IF(A15=[1]Tallgrunnlag!$A$23,[1]Tallgrunnlag!$F$23,IF(A15=[1]Tallgrunnlag!$A$24,[1]Tallgrunnlag!$F$24,IF(A15=[1]Tallgrunnlag!$A$25,[1]Tallgrunnlag!$F$25,IF(A15=[1]Tallgrunnlag!$A$26,[1]Tallgrunnlag!$F$26,IF(A15=[1]Tallgrunnlag!$A$27,[1]Tallgrunnlag!$F$27,IF(A15=[1]Tallgrunnlag!$A$28,[1]Tallgrunnlag!$F$28,IF(A15=[1]Tallgrunnlag!$A$29,[1]Tallgrunnlag!$F$29,)))))))))))))))))))))))</f>
        <v>0</v>
      </c>
      <c r="H15" s="20" t="str">
        <f>IF(A15=[1]Tallgrunnlag!$A$22,[1]Tallgrunnlag!$C$22/3-E40-E41-E42-E43,"")</f>
        <v/>
      </c>
      <c r="I15" s="20" t="str">
        <f>IF(A15="","",IF(A15=[1]Tallgrunnlag!$A$22,H15,IF(C15=[1]Tallgrunnlag!$B$92,((E15+F15+G15)*5),IF(C15=[1]Tallgrunnlag!$B$93,((E15+F15+G15)*4),E15+F15+G15))))</f>
        <v/>
      </c>
      <c r="J15" s="20" t="str">
        <f t="shared" si="0"/>
        <v/>
      </c>
      <c r="K15" s="21" t="str">
        <f>IF(A15="","",IF(A15=[1]Tallgrunnlag!$A$22,J15/D15,J15/D15))</f>
        <v/>
      </c>
      <c r="M15" s="35" t="s">
        <v>49</v>
      </c>
      <c r="N15" s="36">
        <f>IF(M15="","",IF(M15=[1]Tallgrunnlag!$A$58,[1]Tallgrunnlag!$B$58*$M$1,IF(M15=[1]Tallgrunnlag!$A$59,[1]Tallgrunnlag!$B$59*$M$1,IF(M15=[1]Tallgrunnlag!$A$60,[1]Tallgrunnlag!$B$60*$M$1,IF(M15=[1]Tallgrunnlag!$A$61,[1]Tallgrunnlag!$B$61*$M$1,IF(M15=[1]Tallgrunnlag!$A$62,[1]Tallgrunnlag!$B$62*$M$1,IF(M15=[1]Tallgrunnlag!$A$63,[1]Tallgrunnlag!$B$63*$M$1,IF(M15=[1]Tallgrunnlag!$A$64,[1]Tallgrunnlag!$B$64*$M$1,IF(M15=[1]Tallgrunnlag!$A$65,[1]Tallgrunnlag!$B$65*$M$1,IF(M15=[1]Tallgrunnlag!$A$66,[1]Tallgrunnlag!$B$66*$M$1,IF(M15=[1]Tallgrunnlag!$A$67,[1]Tallgrunnlag!$B$67*$M$1,IF(M15=[1]Tallgrunnlag!$A$68,[1]Tallgrunnlag!$B$68*$M$1,IF(M15=[1]Tallgrunnlag!$A$69,[1]Tallgrunnlag!$B$69*$M$1,IF(M15=[1]Tallgrunnlag!$A$70,[1]Tallgrunnlag!$B$70*$M$1,IF(M15=[1]Tallgrunnlag!$A$71,[1]Tallgrunnlag!$B$71*$M$1,IF(M15=[1]Tallgrunnlag!$A$72,[1]Tallgrunnlag!$B$72*$M$1,IF(M15=[1]Tallgrunnlag!$A$73,[1]Tallgrunnlag!$B$73*$M$1,IF(M15=[1]Tallgrunnlag!$A$74,[1]Tallgrunnlag!$B$74*$M$1,IF(M15=[1]Tallgrunnlag!$A$75,[1]Tallgrunnlag!$B$75*$M$1,IF(M15=[1]Tallgrunnlag!$A$76,[1]Tallgrunnlag!$B$76*$M$1,IF(M15=[1]Tallgrunnlag!$A$77,[1]Tallgrunnlag!$B$77*$M$1,IF(M15=[1]Tallgrunnlag!$A$78,[1]Tallgrunnlag!$B$78*$M$1,IF(M15=[1]Tallgrunnlag!$A$79,[1]Tallgrunnlag!$B$79*$M$1,IF(M15=[1]Tallgrunnlag!$A$82,[1]Tallgrunnlag!$B$82*$M$1))))))))))))))))))))))))</f>
        <v>76</v>
      </c>
      <c r="O15" s="37">
        <f t="shared" ref="O15:O30" si="2">IF(M15="","",N15/38)</f>
        <v>2</v>
      </c>
    </row>
    <row r="16" spans="1:20" x14ac:dyDescent="0.25">
      <c r="A16" s="18"/>
      <c r="B16" s="18"/>
      <c r="C16" s="18"/>
      <c r="D16" s="19">
        <f>IF(A16=[1]Tallgrunnlag!$A$3,[1]Tallgrunnlag!$B$3,IF(A16=[1]Tallgrunnlag!$A$4,[1]Tallgrunnlag!$B$4,IF(A16=[1]Tallgrunnlag!$A$5,[1]Tallgrunnlag!$B$5,IF(A16=[1]Tallgrunnlag!$A$6,[1]Tallgrunnlag!$B$6,IF(A16=[1]Tallgrunnlag!$A$7,[1]Tallgrunnlag!$B$7)))))+IF(A16=[1]Tallgrunnlag!$A$8,[1]Tallgrunnlag!$B$8,IF(A16=[1]Tallgrunnlag!$A$9,[1]Tallgrunnlag!$B$9,IF(A16=[1]Tallgrunnlag!$A$10,[1]Tallgrunnlag!$B$10,IF(A16=[1]Tallgrunnlag!$A$11,[1]Tallgrunnlag!$B$11,IF(A16=[1]Tallgrunnlag!$A$12,[1]Tallgrunnlag!$B$12,IF(A16=[1]Tallgrunnlag!$A$13,[1]Tallgrunnlag!$B$13,IF(A16=[1]Tallgrunnlag!$A$14,[1]Tallgrunnlag!$B$14,IF(A16=[1]Tallgrunnlag!$A$15,[1]Tallgrunnlag!$B$15,IF(A16=[1]Tallgrunnlag!$A$16,[1]Tallgrunnlag!$B$16,IF(A16=[1]Tallgrunnlag!$A$17,[1]Tallgrunnlag!$B$17,IF(A16=[1]Tallgrunnlag!$A$18,[1]Tallgrunnlag!$B$18,IF(A16=[1]Tallgrunnlag!$A$19,[1]Tallgrunnlag!$B$19,IF(A16=[1]Tallgrunnlag!$A$20,[1]Tallgrunnlag!$B$20,IF(A16=[1]Tallgrunnlag!$A$21,[1]Tallgrunnlag!$B$21,IF(A16=[1]Tallgrunnlag!$A$22,[1]Tallgrunnlag!$B$22,IF(A16=[1]Tallgrunnlag!$A$23,[1]Tallgrunnlag!$B$23,IF(A16=[1]Tallgrunnlag!$A$24,[1]Tallgrunnlag!$B$24,IF(A16=[1]Tallgrunnlag!$A$25,[1]Tallgrunnlag!$B$25,IF(A16=[1]Tallgrunnlag!$A$26,[1]Tallgrunnlag!$B$26,IF(A16=[1]Tallgrunnlag!$A$27,[1]Tallgrunnlag!$B$27,IF(A16=[1]Tallgrunnlag!$A$28,[1]Tallgrunnlag!$B$28,IF(A16=[1]Tallgrunnlag!$A$29,[1]Tallgrunnlag!$B$29,))))))))))))))))))))))</f>
        <v>0</v>
      </c>
      <c r="E16" s="20" t="b">
        <f>IF(B16=8,IF(A16=[1]Tallgrunnlag!$A$3,[1]Tallgrunnlag!$D$3,IF(A16=[1]Tallgrunnlag!$A$4,[1]Tallgrunnlag!$D$4,IF(A16=[1]Tallgrunnlag!$A$5,[1]Tallgrunnlag!$D$5,IF(A16=[1]Tallgrunnlag!$A$6,[1]Tallgrunnlag!$D$6,IF(A16=[1]Tallgrunnlag!$A$7,[1]Tallgrunnlag!$D$7)))))+IF(A16=[1]Tallgrunnlag!$A$8,[1]Tallgrunnlag!$D$8,IF(A16=[1]Tallgrunnlag!$A$9,[1]Tallgrunnlag!$D$9,IF(A16=[1]Tallgrunnlag!$A$10,[1]Tallgrunnlag!$D$10,IF(A16=[1]Tallgrunnlag!$A$11,[1]Tallgrunnlag!$D$11,IF(A16=[1]Tallgrunnlag!$A$12,[1]Tallgrunnlag!$D$12,IF(A16=[1]Tallgrunnlag!$A$13,[1]Tallgrunnlag!$D$13,IF(A16=[1]Tallgrunnlag!$A$14,[1]Tallgrunnlag!$D$14,IF(A16=[1]Tallgrunnlag!$A$15,[1]Tallgrunnlag!$D$15,IF(A16=[1]Tallgrunnlag!$A$16,[1]Tallgrunnlag!$D$16,IF(A16=[1]Tallgrunnlag!$A$17,[1]Tallgrunnlag!$D$17,IF(A16=[1]Tallgrunnlag!$A$18,[1]Tallgrunnlag!$D$18,IF(A16=[1]Tallgrunnlag!$A$19,[1]Tallgrunnlag!$D$19,IF(A16=[1]Tallgrunnlag!$A$20,[1]Tallgrunnlag!$D$20,IF(A16=[1]Tallgrunnlag!$A$21,[1]Tallgrunnlag!$D$21,IF(A16=[1]Tallgrunnlag!$A$22,[1]Tallgrunnlag!$D$22,IF(A16=[1]Tallgrunnlag!$A$23,[1]Tallgrunnlag!$D$23,IF(A16=[1]Tallgrunnlag!$A$24,[1]Tallgrunnlag!$D$24,IF(A16=[1]Tallgrunnlag!$A$25,[1]Tallgrunnlag!$D$25,IF(A16=[1]Tallgrunnlag!$A$26,[1]Tallgrunnlag!$D$26,IF(A16=[1]Tallgrunnlag!$A$27,[1]Tallgrunnlag!$D$27,IF(A16=[1]Tallgrunnlag!$A$28,[1]Tallgrunnlag!$D$28,IF(A16=[1]Tallgrunnlag!$A$29,[1]Tallgrunnlag!$D$29,)))))))))))))))))))))))</f>
        <v>0</v>
      </c>
      <c r="F16" s="20" t="b">
        <f>IF(B16=9,IF(A16=[1]Tallgrunnlag!$A$3,[1]Tallgrunnlag!$E$3,IF(A16=[1]Tallgrunnlag!$A$4,[1]Tallgrunnlag!$E$4,IF(A16=[1]Tallgrunnlag!$A$5,[1]Tallgrunnlag!$E$5,IF(A16=[1]Tallgrunnlag!$A$6,[1]Tallgrunnlag!$E$6,IF(A16=[1]Tallgrunnlag!$A$7,[1]Tallgrunnlag!$E$7)))))+IF(A16=[1]Tallgrunnlag!$A$8,[1]Tallgrunnlag!$E$8,IF(A16=[1]Tallgrunnlag!$A$9,[1]Tallgrunnlag!$E$9,IF(A16=[1]Tallgrunnlag!$A$10,[1]Tallgrunnlag!$E$10,IF(A16=[1]Tallgrunnlag!$A$11,[1]Tallgrunnlag!$E$11,IF(A16=[1]Tallgrunnlag!$A$12,[1]Tallgrunnlag!$E$12,IF(A16=[1]Tallgrunnlag!$A$13,[1]Tallgrunnlag!$E$13,IF(A16=[1]Tallgrunnlag!$A$14,[1]Tallgrunnlag!$E$14,IF(A16=[1]Tallgrunnlag!$A$15,[1]Tallgrunnlag!$E$15,IF(A16=[1]Tallgrunnlag!$A$16,[1]Tallgrunnlag!$E$16,IF(A16=[1]Tallgrunnlag!$A$17,[1]Tallgrunnlag!$E$17,IF(A16=[1]Tallgrunnlag!$A$18,[1]Tallgrunnlag!$E$18,IF(A16=[1]Tallgrunnlag!$A$19,[1]Tallgrunnlag!$E$19,IF(A16=[1]Tallgrunnlag!$A$20,[1]Tallgrunnlag!$E$20,IF(A16=[1]Tallgrunnlag!$A$21,[1]Tallgrunnlag!$E$21,IF(A16=[1]Tallgrunnlag!$A$22,[1]Tallgrunnlag!$E$22,IF(A16=[1]Tallgrunnlag!$A$23,[1]Tallgrunnlag!$E$23,IF(A16=[1]Tallgrunnlag!$A$24,[1]Tallgrunnlag!$E$24,IF(A16=[1]Tallgrunnlag!$A$25,[1]Tallgrunnlag!$E$25,IF(A16=[1]Tallgrunnlag!$A$26,[1]Tallgrunnlag!$E$26,IF(A16=[1]Tallgrunnlag!$A$27,[1]Tallgrunnlag!$E$27,IF(A16=[1]Tallgrunnlag!$A$28,[1]Tallgrunnlag!$E$28,IF(A16=[1]Tallgrunnlag!$A$29,[1]Tallgrunnlag!$E$29,)))))))))))))))))))))))</f>
        <v>0</v>
      </c>
      <c r="G16" s="20" t="b">
        <f>IF(B16=10,IF(A16=[1]Tallgrunnlag!$A$3,[1]Tallgrunnlag!$F$3,IF(A16=[1]Tallgrunnlag!$A$4,[1]Tallgrunnlag!$F$4,IF(A16=[1]Tallgrunnlag!$A$5,[1]Tallgrunnlag!$F$5,IF(A16=[1]Tallgrunnlag!$A$6,[1]Tallgrunnlag!$F$6,IF(A16=[1]Tallgrunnlag!$A$7,[1]Tallgrunnlag!$F$7)))))+IF(A16=[1]Tallgrunnlag!$A$8,[1]Tallgrunnlag!$F$8,IF(A16=[1]Tallgrunnlag!$A$9,[1]Tallgrunnlag!$F$9,IF(A16=[1]Tallgrunnlag!$A$10,[1]Tallgrunnlag!$F$10,IF(A16=[1]Tallgrunnlag!$A$11,[1]Tallgrunnlag!$F$11,IF(A16=[1]Tallgrunnlag!$A$12,[1]Tallgrunnlag!$F$12,IF(A16=[1]Tallgrunnlag!$A$13,[1]Tallgrunnlag!$F$13,IF(A16=[1]Tallgrunnlag!$A$14,[1]Tallgrunnlag!$F$14,IF(A16=[1]Tallgrunnlag!$A$15,[1]Tallgrunnlag!$F$15,IF(A16=[1]Tallgrunnlag!$A$16,[1]Tallgrunnlag!$F$16,IF(A16=[1]Tallgrunnlag!$A$17,[1]Tallgrunnlag!$F$17,IF(A16=[1]Tallgrunnlag!$A$18,[1]Tallgrunnlag!$F$18,IF(A16=[1]Tallgrunnlag!$A$19,[1]Tallgrunnlag!$F$19,IF(A16=[1]Tallgrunnlag!$A$20,[1]Tallgrunnlag!$F$20,IF(A16=[1]Tallgrunnlag!$A$21,[1]Tallgrunnlag!$F$21,IF(A16=[1]Tallgrunnlag!$A$22,[1]Tallgrunnlag!$F$22,IF(A16=[1]Tallgrunnlag!$A$23,[1]Tallgrunnlag!$F$23,IF(A16=[1]Tallgrunnlag!$A$24,[1]Tallgrunnlag!$F$24,IF(A16=[1]Tallgrunnlag!$A$25,[1]Tallgrunnlag!$F$25,IF(A16=[1]Tallgrunnlag!$A$26,[1]Tallgrunnlag!$F$26,IF(A16=[1]Tallgrunnlag!$A$27,[1]Tallgrunnlag!$F$27,IF(A16=[1]Tallgrunnlag!$A$28,[1]Tallgrunnlag!$F$28,IF(A16=[1]Tallgrunnlag!$A$29,[1]Tallgrunnlag!$F$29,)))))))))))))))))))))))</f>
        <v>0</v>
      </c>
      <c r="H16" s="20" t="str">
        <f>IF(A16=[1]Tallgrunnlag!$A$22,[1]Tallgrunnlag!$C$22/3-E41-E42-E43-E44,"")</f>
        <v/>
      </c>
      <c r="I16" s="20" t="str">
        <f>IF(A16="","",IF(A16=[1]Tallgrunnlag!$A$22,H16,IF(C16=[1]Tallgrunnlag!$B$92,((E16+F16+G16)*5),IF(C16=[1]Tallgrunnlag!$B$93,((E16+F16+G16)*4),E16+F16+G16))))</f>
        <v/>
      </c>
      <c r="J16" s="20" t="str">
        <f t="shared" si="0"/>
        <v/>
      </c>
      <c r="K16" s="21" t="str">
        <f>IF(A16="","",IF(A16=[1]Tallgrunnlag!$A$22,J16/D16,J16/D16))</f>
        <v/>
      </c>
      <c r="M16" s="35" t="s">
        <v>50</v>
      </c>
      <c r="N16" s="36">
        <f>IF(M16="","",IF(M16=[1]Tallgrunnlag!$A$58,[1]Tallgrunnlag!$B$58*$M$1,IF(M16=[1]Tallgrunnlag!$A$59,[1]Tallgrunnlag!$B$59*$M$1,IF(M16=[1]Tallgrunnlag!$A$60,[1]Tallgrunnlag!$B$60*$M$1,IF(M16=[1]Tallgrunnlag!$A$61,[1]Tallgrunnlag!$B$61*$M$1,IF(M16=[1]Tallgrunnlag!$A$62,[1]Tallgrunnlag!$B$62*$M$1,IF(M16=[1]Tallgrunnlag!$A$63,[1]Tallgrunnlag!$B$63*$M$1,IF(M16=[1]Tallgrunnlag!$A$64,[1]Tallgrunnlag!$B$64*$M$1,IF(M16=[1]Tallgrunnlag!$A$65,[1]Tallgrunnlag!$B$65*$M$1,IF(M16=[1]Tallgrunnlag!$A$66,[1]Tallgrunnlag!$B$66*$M$1,IF(M16=[1]Tallgrunnlag!$A$67,[1]Tallgrunnlag!$B$67*$M$1,IF(M16=[1]Tallgrunnlag!$A$68,[1]Tallgrunnlag!$B$68*$M$1,IF(M16=[1]Tallgrunnlag!$A$69,[1]Tallgrunnlag!$B$69*$M$1,IF(M16=[1]Tallgrunnlag!$A$70,[1]Tallgrunnlag!$B$70*$M$1,IF(M16=[1]Tallgrunnlag!$A$71,[1]Tallgrunnlag!$B$71*$M$1,IF(M16=[1]Tallgrunnlag!$A$72,[1]Tallgrunnlag!$B$72*$M$1,IF(M16=[1]Tallgrunnlag!$A$73,[1]Tallgrunnlag!$B$73*$M$1,IF(M16=[1]Tallgrunnlag!$A$74,[1]Tallgrunnlag!$B$74*$M$1,IF(M16=[1]Tallgrunnlag!$A$75,[1]Tallgrunnlag!$B$75*$M$1,IF(M16=[1]Tallgrunnlag!$A$76,[1]Tallgrunnlag!$B$76*$M$1,IF(M16=[1]Tallgrunnlag!$A$77,[1]Tallgrunnlag!$B$77*$M$1,IF(M16=[1]Tallgrunnlag!$A$78,[1]Tallgrunnlag!$B$78*$M$1,IF(M16=[1]Tallgrunnlag!$A$79,[1]Tallgrunnlag!$B$79*$M$1,IF(M16=[1]Tallgrunnlag!$A$82,[1]Tallgrunnlag!$B$82*$M$1))))))))))))))))))))))))</f>
        <v>6</v>
      </c>
      <c r="O16" s="37">
        <f t="shared" si="2"/>
        <v>0.15789473684210525</v>
      </c>
    </row>
    <row r="17" spans="1:15" x14ac:dyDescent="0.25">
      <c r="A17" s="18"/>
      <c r="B17" s="18"/>
      <c r="C17" s="18"/>
      <c r="D17" s="19">
        <f>IF(A17=[1]Tallgrunnlag!$A$3,[1]Tallgrunnlag!$B$3,IF(A17=[1]Tallgrunnlag!$A$4,[1]Tallgrunnlag!$B$4,IF(A17=[1]Tallgrunnlag!$A$5,[1]Tallgrunnlag!$B$5,IF(A17=[1]Tallgrunnlag!$A$6,[1]Tallgrunnlag!$B$6,IF(A17=[1]Tallgrunnlag!$A$7,[1]Tallgrunnlag!$B$7)))))+IF(A17=[1]Tallgrunnlag!$A$8,[1]Tallgrunnlag!$B$8,IF(A17=[1]Tallgrunnlag!$A$9,[1]Tallgrunnlag!$B$9,IF(A17=[1]Tallgrunnlag!$A$10,[1]Tallgrunnlag!$B$10,IF(A17=[1]Tallgrunnlag!$A$11,[1]Tallgrunnlag!$B$11,IF(A17=[1]Tallgrunnlag!$A$12,[1]Tallgrunnlag!$B$12,IF(A17=[1]Tallgrunnlag!$A$13,[1]Tallgrunnlag!$B$13,IF(A17=[1]Tallgrunnlag!$A$14,[1]Tallgrunnlag!$B$14,IF(A17=[1]Tallgrunnlag!$A$15,[1]Tallgrunnlag!$B$15,IF(A17=[1]Tallgrunnlag!$A$16,[1]Tallgrunnlag!$B$16,IF(A17=[1]Tallgrunnlag!$A$17,[1]Tallgrunnlag!$B$17,IF(A17=[1]Tallgrunnlag!$A$18,[1]Tallgrunnlag!$B$18,IF(A17=[1]Tallgrunnlag!$A$19,[1]Tallgrunnlag!$B$19,IF(A17=[1]Tallgrunnlag!$A$20,[1]Tallgrunnlag!$B$20,IF(A17=[1]Tallgrunnlag!$A$21,[1]Tallgrunnlag!$B$21,IF(A17=[1]Tallgrunnlag!$A$22,[1]Tallgrunnlag!$B$22,IF(A17=[1]Tallgrunnlag!$A$23,[1]Tallgrunnlag!$B$23,IF(A17=[1]Tallgrunnlag!$A$24,[1]Tallgrunnlag!$B$24,IF(A17=[1]Tallgrunnlag!$A$25,[1]Tallgrunnlag!$B$25,IF(A17=[1]Tallgrunnlag!$A$26,[1]Tallgrunnlag!$B$26,IF(A17=[1]Tallgrunnlag!$A$27,[1]Tallgrunnlag!$B$27,IF(A17=[1]Tallgrunnlag!$A$28,[1]Tallgrunnlag!$B$28,IF(A17=[1]Tallgrunnlag!$A$29,[1]Tallgrunnlag!$B$29,))))))))))))))))))))))</f>
        <v>0</v>
      </c>
      <c r="E17" s="20" t="b">
        <f>IF(B17=8,IF(A17=[1]Tallgrunnlag!$A$3,[1]Tallgrunnlag!$D$3,IF(A17=[1]Tallgrunnlag!$A$4,[1]Tallgrunnlag!$D$4,IF(A17=[1]Tallgrunnlag!$A$5,[1]Tallgrunnlag!$D$5,IF(A17=[1]Tallgrunnlag!$A$6,[1]Tallgrunnlag!$D$6,IF(A17=[1]Tallgrunnlag!$A$7,[1]Tallgrunnlag!$D$7)))))+IF(A17=[1]Tallgrunnlag!$A$8,[1]Tallgrunnlag!$D$8,IF(A17=[1]Tallgrunnlag!$A$9,[1]Tallgrunnlag!$D$9,IF(A17=[1]Tallgrunnlag!$A$10,[1]Tallgrunnlag!$D$10,IF(A17=[1]Tallgrunnlag!$A$11,[1]Tallgrunnlag!$D$11,IF(A17=[1]Tallgrunnlag!$A$12,[1]Tallgrunnlag!$D$12,IF(A17=[1]Tallgrunnlag!$A$13,[1]Tallgrunnlag!$D$13,IF(A17=[1]Tallgrunnlag!$A$14,[1]Tallgrunnlag!$D$14,IF(A17=[1]Tallgrunnlag!$A$15,[1]Tallgrunnlag!$D$15,IF(A17=[1]Tallgrunnlag!$A$16,[1]Tallgrunnlag!$D$16,IF(A17=[1]Tallgrunnlag!$A$17,[1]Tallgrunnlag!$D$17,IF(A17=[1]Tallgrunnlag!$A$18,[1]Tallgrunnlag!$D$18,IF(A17=[1]Tallgrunnlag!$A$19,[1]Tallgrunnlag!$D$19,IF(A17=[1]Tallgrunnlag!$A$20,[1]Tallgrunnlag!$D$20,IF(A17=[1]Tallgrunnlag!$A$21,[1]Tallgrunnlag!$D$21,IF(A17=[1]Tallgrunnlag!$A$22,[1]Tallgrunnlag!$D$22,IF(A17=[1]Tallgrunnlag!$A$23,[1]Tallgrunnlag!$D$23,IF(A17=[1]Tallgrunnlag!$A$24,[1]Tallgrunnlag!$D$24,IF(A17=[1]Tallgrunnlag!$A$25,[1]Tallgrunnlag!$D$25,IF(A17=[1]Tallgrunnlag!$A$26,[1]Tallgrunnlag!$D$26,IF(A17=[1]Tallgrunnlag!$A$27,[1]Tallgrunnlag!$D$27,IF(A17=[1]Tallgrunnlag!$A$28,[1]Tallgrunnlag!$D$28,IF(A17=[1]Tallgrunnlag!$A$29,[1]Tallgrunnlag!$D$29,)))))))))))))))))))))))</f>
        <v>0</v>
      </c>
      <c r="F17" s="20" t="b">
        <f>IF(B17=9,IF(A17=[1]Tallgrunnlag!$A$3,[1]Tallgrunnlag!$E$3,IF(A17=[1]Tallgrunnlag!$A$4,[1]Tallgrunnlag!$E$4,IF(A17=[1]Tallgrunnlag!$A$5,[1]Tallgrunnlag!$E$5,IF(A17=[1]Tallgrunnlag!$A$6,[1]Tallgrunnlag!$E$6,IF(A17=[1]Tallgrunnlag!$A$7,[1]Tallgrunnlag!$E$7)))))+IF(A17=[1]Tallgrunnlag!$A$8,[1]Tallgrunnlag!$E$8,IF(A17=[1]Tallgrunnlag!$A$9,[1]Tallgrunnlag!$E$9,IF(A17=[1]Tallgrunnlag!$A$10,[1]Tallgrunnlag!$E$10,IF(A17=[1]Tallgrunnlag!$A$11,[1]Tallgrunnlag!$E$11,IF(A17=[1]Tallgrunnlag!$A$12,[1]Tallgrunnlag!$E$12,IF(A17=[1]Tallgrunnlag!$A$13,[1]Tallgrunnlag!$E$13,IF(A17=[1]Tallgrunnlag!$A$14,[1]Tallgrunnlag!$E$14,IF(A17=[1]Tallgrunnlag!$A$15,[1]Tallgrunnlag!$E$15,IF(A17=[1]Tallgrunnlag!$A$16,[1]Tallgrunnlag!$E$16,IF(A17=[1]Tallgrunnlag!$A$17,[1]Tallgrunnlag!$E$17,IF(A17=[1]Tallgrunnlag!$A$18,[1]Tallgrunnlag!$E$18,IF(A17=[1]Tallgrunnlag!$A$19,[1]Tallgrunnlag!$E$19,IF(A17=[1]Tallgrunnlag!$A$20,[1]Tallgrunnlag!$E$20,IF(A17=[1]Tallgrunnlag!$A$21,[1]Tallgrunnlag!$E$21,IF(A17=[1]Tallgrunnlag!$A$22,[1]Tallgrunnlag!$E$22,IF(A17=[1]Tallgrunnlag!$A$23,[1]Tallgrunnlag!$E$23,IF(A17=[1]Tallgrunnlag!$A$24,[1]Tallgrunnlag!$E$24,IF(A17=[1]Tallgrunnlag!$A$25,[1]Tallgrunnlag!$E$25,IF(A17=[1]Tallgrunnlag!$A$26,[1]Tallgrunnlag!$E$26,IF(A17=[1]Tallgrunnlag!$A$27,[1]Tallgrunnlag!$E$27,IF(A17=[1]Tallgrunnlag!$A$28,[1]Tallgrunnlag!$E$28,IF(A17=[1]Tallgrunnlag!$A$29,[1]Tallgrunnlag!$E$29,)))))))))))))))))))))))</f>
        <v>0</v>
      </c>
      <c r="G17" s="20" t="b">
        <f>IF(B17=10,IF(A17=[1]Tallgrunnlag!$A$3,[1]Tallgrunnlag!$F$3,IF(A17=[1]Tallgrunnlag!$A$4,[1]Tallgrunnlag!$F$4,IF(A17=[1]Tallgrunnlag!$A$5,[1]Tallgrunnlag!$F$5,IF(A17=[1]Tallgrunnlag!$A$6,[1]Tallgrunnlag!$F$6,IF(A17=[1]Tallgrunnlag!$A$7,[1]Tallgrunnlag!$F$7)))))+IF(A17=[1]Tallgrunnlag!$A$8,[1]Tallgrunnlag!$F$8,IF(A17=[1]Tallgrunnlag!$A$9,[1]Tallgrunnlag!$F$9,IF(A17=[1]Tallgrunnlag!$A$10,[1]Tallgrunnlag!$F$10,IF(A17=[1]Tallgrunnlag!$A$11,[1]Tallgrunnlag!$F$11,IF(A17=[1]Tallgrunnlag!$A$12,[1]Tallgrunnlag!$F$12,IF(A17=[1]Tallgrunnlag!$A$13,[1]Tallgrunnlag!$F$13,IF(A17=[1]Tallgrunnlag!$A$14,[1]Tallgrunnlag!$F$14,IF(A17=[1]Tallgrunnlag!$A$15,[1]Tallgrunnlag!$F$15,IF(A17=[1]Tallgrunnlag!$A$16,[1]Tallgrunnlag!$F$16,IF(A17=[1]Tallgrunnlag!$A$17,[1]Tallgrunnlag!$F$17,IF(A17=[1]Tallgrunnlag!$A$18,[1]Tallgrunnlag!$F$18,IF(A17=[1]Tallgrunnlag!$A$19,[1]Tallgrunnlag!$F$19,IF(A17=[1]Tallgrunnlag!$A$20,[1]Tallgrunnlag!$F$20,IF(A17=[1]Tallgrunnlag!$A$21,[1]Tallgrunnlag!$F$21,IF(A17=[1]Tallgrunnlag!$A$22,[1]Tallgrunnlag!$F$22,IF(A17=[1]Tallgrunnlag!$A$23,[1]Tallgrunnlag!$F$23,IF(A17=[1]Tallgrunnlag!$A$24,[1]Tallgrunnlag!$F$24,IF(A17=[1]Tallgrunnlag!$A$25,[1]Tallgrunnlag!$F$25,IF(A17=[1]Tallgrunnlag!$A$26,[1]Tallgrunnlag!$F$26,IF(A17=[1]Tallgrunnlag!$A$27,[1]Tallgrunnlag!$F$27,IF(A17=[1]Tallgrunnlag!$A$28,[1]Tallgrunnlag!$F$28,IF(A17=[1]Tallgrunnlag!$A$29,[1]Tallgrunnlag!$F$29,)))))))))))))))))))))))</f>
        <v>0</v>
      </c>
      <c r="H17" s="20" t="str">
        <f>IF(A17=[1]Tallgrunnlag!$A$22,[1]Tallgrunnlag!$C$22/3-E40-E41-E42-E43,"")</f>
        <v/>
      </c>
      <c r="I17" s="20" t="str">
        <f>IF(A17="","",IF(A17=[1]Tallgrunnlag!$A$22,H17,IF(C17=[1]Tallgrunnlag!$B$92,((E17+F17+G17)*5),IF(C17=[1]Tallgrunnlag!$B$93,((E17+F17+G17)*4),E17+F17+G17))))</f>
        <v/>
      </c>
      <c r="J17" s="20" t="str">
        <f t="shared" si="0"/>
        <v/>
      </c>
      <c r="K17" s="21" t="str">
        <f>IF(A17="","",IF(A17=[1]Tallgrunnlag!$A$22,J17/D17,J17/D17))</f>
        <v/>
      </c>
      <c r="M17" s="35" t="s">
        <v>51</v>
      </c>
      <c r="N17" s="36">
        <f>IF(M17="","",IF(M17=[1]Tallgrunnlag!$A$58,[1]Tallgrunnlag!$B$58*$M$1,IF(M17=[1]Tallgrunnlag!$A$59,[1]Tallgrunnlag!$B$59*$M$1,IF(M17=[1]Tallgrunnlag!$A$60,[1]Tallgrunnlag!$B$60*$M$1,IF(M17=[1]Tallgrunnlag!$A$61,[1]Tallgrunnlag!$B$61*$M$1,IF(M17=[1]Tallgrunnlag!$A$62,[1]Tallgrunnlag!$B$62*$M$1,IF(M17=[1]Tallgrunnlag!$A$63,[1]Tallgrunnlag!$B$63*$M$1,IF(M17=[1]Tallgrunnlag!$A$64,[1]Tallgrunnlag!$B$64*$M$1,IF(M17=[1]Tallgrunnlag!$A$65,[1]Tallgrunnlag!$B$65*$M$1,IF(M17=[1]Tallgrunnlag!$A$66,[1]Tallgrunnlag!$B$66*$M$1,IF(M17=[1]Tallgrunnlag!$A$67,[1]Tallgrunnlag!$B$67*$M$1,IF(M17=[1]Tallgrunnlag!$A$68,[1]Tallgrunnlag!$B$68*$M$1,IF(M17=[1]Tallgrunnlag!$A$69,[1]Tallgrunnlag!$B$69*$M$1,IF(M17=[1]Tallgrunnlag!$A$70,[1]Tallgrunnlag!$B$70*$M$1,IF(M17=[1]Tallgrunnlag!$A$71,[1]Tallgrunnlag!$B$71*$M$1,IF(M17=[1]Tallgrunnlag!$A$72,[1]Tallgrunnlag!$B$72*$M$1,IF(M17=[1]Tallgrunnlag!$A$73,[1]Tallgrunnlag!$B$73*$M$1,IF(M17=[1]Tallgrunnlag!$A$74,[1]Tallgrunnlag!$B$74*$M$1,IF(M17=[1]Tallgrunnlag!$A$75,[1]Tallgrunnlag!$B$75*$M$1,IF(M17=[1]Tallgrunnlag!$A$76,[1]Tallgrunnlag!$B$76*$M$1,IF(M17=[1]Tallgrunnlag!$A$77,[1]Tallgrunnlag!$B$77*$M$1,IF(M17=[1]Tallgrunnlag!$A$78,[1]Tallgrunnlag!$B$78*$M$1,IF(M17=[1]Tallgrunnlag!$A$79,[1]Tallgrunnlag!$B$79*$M$1,IF(M17=[1]Tallgrunnlag!$A$82,[1]Tallgrunnlag!$B$82*$M$1))))))))))))))))))))))))</f>
        <v>76</v>
      </c>
      <c r="O17" s="37">
        <f t="shared" si="2"/>
        <v>2</v>
      </c>
    </row>
    <row r="18" spans="1:15" x14ac:dyDescent="0.25">
      <c r="A18" s="18"/>
      <c r="B18" s="18"/>
      <c r="C18" s="18"/>
      <c r="D18" s="19">
        <f>IF(A18=[1]Tallgrunnlag!$A$3,[1]Tallgrunnlag!$B$3,IF(A18=[1]Tallgrunnlag!$A$4,[1]Tallgrunnlag!$B$4,IF(A18=[1]Tallgrunnlag!$A$5,[1]Tallgrunnlag!$B$5,IF(A18=[1]Tallgrunnlag!$A$6,[1]Tallgrunnlag!$B$6,IF(A18=[1]Tallgrunnlag!$A$7,[1]Tallgrunnlag!$B$7)))))+IF(A18=[1]Tallgrunnlag!$A$8,[1]Tallgrunnlag!$B$8,IF(A18=[1]Tallgrunnlag!$A$9,[1]Tallgrunnlag!$B$9,IF(A18=[1]Tallgrunnlag!$A$10,[1]Tallgrunnlag!$B$10,IF(A18=[1]Tallgrunnlag!$A$11,[1]Tallgrunnlag!$B$11,IF(A18=[1]Tallgrunnlag!$A$12,[1]Tallgrunnlag!$B$12,IF(A18=[1]Tallgrunnlag!$A$13,[1]Tallgrunnlag!$B$13,IF(A18=[1]Tallgrunnlag!$A$14,[1]Tallgrunnlag!$B$14,IF(A18=[1]Tallgrunnlag!$A$15,[1]Tallgrunnlag!$B$15,IF(A18=[1]Tallgrunnlag!$A$16,[1]Tallgrunnlag!$B$16,IF(A18=[1]Tallgrunnlag!$A$17,[1]Tallgrunnlag!$B$17,IF(A18=[1]Tallgrunnlag!$A$18,[1]Tallgrunnlag!$B$18,IF(A18=[1]Tallgrunnlag!$A$19,[1]Tallgrunnlag!$B$19,IF(A18=[1]Tallgrunnlag!$A$20,[1]Tallgrunnlag!$B$20,IF(A18=[1]Tallgrunnlag!$A$21,[1]Tallgrunnlag!$B$21,IF(A18=[1]Tallgrunnlag!$A$22,[1]Tallgrunnlag!$B$22,IF(A18=[1]Tallgrunnlag!$A$23,[1]Tallgrunnlag!$B$23,IF(A18=[1]Tallgrunnlag!$A$24,[1]Tallgrunnlag!$B$24,IF(A18=[1]Tallgrunnlag!$A$25,[1]Tallgrunnlag!$B$25,IF(A18=[1]Tallgrunnlag!$A$26,[1]Tallgrunnlag!$B$26,IF(A18=[1]Tallgrunnlag!$A$27,[1]Tallgrunnlag!$B$27,IF(A18=[1]Tallgrunnlag!$A$28,[1]Tallgrunnlag!$B$28,IF(A18=[1]Tallgrunnlag!$A$29,[1]Tallgrunnlag!$B$29,))))))))))))))))))))))</f>
        <v>0</v>
      </c>
      <c r="E18" s="20" t="b">
        <f>IF(B18=8,IF(A18=[1]Tallgrunnlag!$A$3,[1]Tallgrunnlag!$D$3,IF(A18=[1]Tallgrunnlag!$A$4,[1]Tallgrunnlag!$D$4,IF(A18=[1]Tallgrunnlag!$A$5,[1]Tallgrunnlag!$D$5,IF(A18=[1]Tallgrunnlag!$A$6,[1]Tallgrunnlag!$D$6,IF(A18=[1]Tallgrunnlag!$A$7,[1]Tallgrunnlag!$D$7)))))+IF(A18=[1]Tallgrunnlag!$A$8,[1]Tallgrunnlag!$D$8,IF(A18=[1]Tallgrunnlag!$A$9,[1]Tallgrunnlag!$D$9,IF(A18=[1]Tallgrunnlag!$A$10,[1]Tallgrunnlag!$D$10,IF(A18=[1]Tallgrunnlag!$A$11,[1]Tallgrunnlag!$D$11,IF(A18=[1]Tallgrunnlag!$A$12,[1]Tallgrunnlag!$D$12,IF(A18=[1]Tallgrunnlag!$A$13,[1]Tallgrunnlag!$D$13,IF(A18=[1]Tallgrunnlag!$A$14,[1]Tallgrunnlag!$D$14,IF(A18=[1]Tallgrunnlag!$A$15,[1]Tallgrunnlag!$D$15,IF(A18=[1]Tallgrunnlag!$A$16,[1]Tallgrunnlag!$D$16,IF(A18=[1]Tallgrunnlag!$A$17,[1]Tallgrunnlag!$D$17,IF(A18=[1]Tallgrunnlag!$A$18,[1]Tallgrunnlag!$D$18,IF(A18=[1]Tallgrunnlag!$A$19,[1]Tallgrunnlag!$D$19,IF(A18=[1]Tallgrunnlag!$A$20,[1]Tallgrunnlag!$D$20,IF(A18=[1]Tallgrunnlag!$A$21,[1]Tallgrunnlag!$D$21,IF(A18=[1]Tallgrunnlag!$A$22,[1]Tallgrunnlag!$D$22,IF(A18=[1]Tallgrunnlag!$A$23,[1]Tallgrunnlag!$D$23,IF(A18=[1]Tallgrunnlag!$A$24,[1]Tallgrunnlag!$D$24,IF(A18=[1]Tallgrunnlag!$A$25,[1]Tallgrunnlag!$D$25,IF(A18=[1]Tallgrunnlag!$A$26,[1]Tallgrunnlag!$D$26,IF(A18=[1]Tallgrunnlag!$A$27,[1]Tallgrunnlag!$D$27,IF(A18=[1]Tallgrunnlag!$A$28,[1]Tallgrunnlag!$D$28,IF(A18=[1]Tallgrunnlag!$A$29,[1]Tallgrunnlag!$D$29,)))))))))))))))))))))))</f>
        <v>0</v>
      </c>
      <c r="F18" s="20" t="b">
        <f>IF(B18=9,IF(A18=[1]Tallgrunnlag!$A$3,[1]Tallgrunnlag!$E$3,IF(A18=[1]Tallgrunnlag!$A$4,[1]Tallgrunnlag!$E$4,IF(A18=[1]Tallgrunnlag!$A$5,[1]Tallgrunnlag!$E$5,IF(A18=[1]Tallgrunnlag!$A$6,[1]Tallgrunnlag!$E$6,IF(A18=[1]Tallgrunnlag!$A$7,[1]Tallgrunnlag!$E$7)))))+IF(A18=[1]Tallgrunnlag!$A$8,[1]Tallgrunnlag!$E$8,IF(A18=[1]Tallgrunnlag!$A$9,[1]Tallgrunnlag!$E$9,IF(A18=[1]Tallgrunnlag!$A$10,[1]Tallgrunnlag!$E$10,IF(A18=[1]Tallgrunnlag!$A$11,[1]Tallgrunnlag!$E$11,IF(A18=[1]Tallgrunnlag!$A$12,[1]Tallgrunnlag!$E$12,IF(A18=[1]Tallgrunnlag!$A$13,[1]Tallgrunnlag!$E$13,IF(A18=[1]Tallgrunnlag!$A$14,[1]Tallgrunnlag!$E$14,IF(A18=[1]Tallgrunnlag!$A$15,[1]Tallgrunnlag!$E$15,IF(A18=[1]Tallgrunnlag!$A$16,[1]Tallgrunnlag!$E$16,IF(A18=[1]Tallgrunnlag!$A$17,[1]Tallgrunnlag!$E$17,IF(A18=[1]Tallgrunnlag!$A$18,[1]Tallgrunnlag!$E$18,IF(A18=[1]Tallgrunnlag!$A$19,[1]Tallgrunnlag!$E$19,IF(A18=[1]Tallgrunnlag!$A$20,[1]Tallgrunnlag!$E$20,IF(A18=[1]Tallgrunnlag!$A$21,[1]Tallgrunnlag!$E$21,IF(A18=[1]Tallgrunnlag!$A$22,[1]Tallgrunnlag!$E$22,IF(A18=[1]Tallgrunnlag!$A$23,[1]Tallgrunnlag!$E$23,IF(A18=[1]Tallgrunnlag!$A$24,[1]Tallgrunnlag!$E$24,IF(A18=[1]Tallgrunnlag!$A$25,[1]Tallgrunnlag!$E$25,IF(A18=[1]Tallgrunnlag!$A$26,[1]Tallgrunnlag!$E$26,IF(A18=[1]Tallgrunnlag!$A$27,[1]Tallgrunnlag!$E$27,IF(A18=[1]Tallgrunnlag!$A$28,[1]Tallgrunnlag!$E$28,IF(A18=[1]Tallgrunnlag!$A$29,[1]Tallgrunnlag!$E$29,)))))))))))))))))))))))</f>
        <v>0</v>
      </c>
      <c r="G18" s="20" t="b">
        <f>IF(B18=10,IF(A18=[1]Tallgrunnlag!$A$3,[1]Tallgrunnlag!$F$3,IF(A18=[1]Tallgrunnlag!$A$4,[1]Tallgrunnlag!$F$4,IF(A18=[1]Tallgrunnlag!$A$5,[1]Tallgrunnlag!$F$5,IF(A18=[1]Tallgrunnlag!$A$6,[1]Tallgrunnlag!$F$6,IF(A18=[1]Tallgrunnlag!$A$7,[1]Tallgrunnlag!$F$7)))))+IF(A18=[1]Tallgrunnlag!$A$8,[1]Tallgrunnlag!$F$8,IF(A18=[1]Tallgrunnlag!$A$9,[1]Tallgrunnlag!$F$9,IF(A18=[1]Tallgrunnlag!$A$10,[1]Tallgrunnlag!$F$10,IF(A18=[1]Tallgrunnlag!$A$11,[1]Tallgrunnlag!$F$11,IF(A18=[1]Tallgrunnlag!$A$12,[1]Tallgrunnlag!$F$12,IF(A18=[1]Tallgrunnlag!$A$13,[1]Tallgrunnlag!$F$13,IF(A18=[1]Tallgrunnlag!$A$14,[1]Tallgrunnlag!$F$14,IF(A18=[1]Tallgrunnlag!$A$15,[1]Tallgrunnlag!$F$15,IF(A18=[1]Tallgrunnlag!$A$16,[1]Tallgrunnlag!$F$16,IF(A18=[1]Tallgrunnlag!$A$17,[1]Tallgrunnlag!$F$17,IF(A18=[1]Tallgrunnlag!$A$18,[1]Tallgrunnlag!$F$18,IF(A18=[1]Tallgrunnlag!$A$19,[1]Tallgrunnlag!$F$19,IF(A18=[1]Tallgrunnlag!$A$20,[1]Tallgrunnlag!$F$20,IF(A18=[1]Tallgrunnlag!$A$21,[1]Tallgrunnlag!$F$21,IF(A18=[1]Tallgrunnlag!$A$22,[1]Tallgrunnlag!$F$22,IF(A18=[1]Tallgrunnlag!$A$23,[1]Tallgrunnlag!$F$23,IF(A18=[1]Tallgrunnlag!$A$24,[1]Tallgrunnlag!$F$24,IF(A18=[1]Tallgrunnlag!$A$25,[1]Tallgrunnlag!$F$25,IF(A18=[1]Tallgrunnlag!$A$26,[1]Tallgrunnlag!$F$26,IF(A18=[1]Tallgrunnlag!$A$27,[1]Tallgrunnlag!$F$27,IF(A18=[1]Tallgrunnlag!$A$28,[1]Tallgrunnlag!$F$28,IF(A18=[1]Tallgrunnlag!$A$29,[1]Tallgrunnlag!$F$29,)))))))))))))))))))))))</f>
        <v>0</v>
      </c>
      <c r="H18" s="20" t="str">
        <f>IF(A18=[1]Tallgrunnlag!$A$22,[1]Tallgrunnlag!$C$22/3-E41-E42-E43-E44,"")</f>
        <v/>
      </c>
      <c r="I18" s="20" t="str">
        <f>IF(A18="","",IF(A18=[1]Tallgrunnlag!$A$22,H18,IF(C18=[1]Tallgrunnlag!$B$92,((E18+F18+G18)*5),IF(C18=[1]Tallgrunnlag!$B$93,((E18+F18+G18)*4),E18+F18+G18))))</f>
        <v/>
      </c>
      <c r="J18" s="20" t="str">
        <f t="shared" si="0"/>
        <v/>
      </c>
      <c r="K18" s="21" t="str">
        <f>IF(A18="","",IF(A18=[1]Tallgrunnlag!$A$22,J18/D18,J18/D18))</f>
        <v/>
      </c>
      <c r="M18" s="35" t="s">
        <v>52</v>
      </c>
      <c r="N18" s="36">
        <f>IF(M18="","",IF(M18=[1]Tallgrunnlag!$A$58,[1]Tallgrunnlag!$B$58*$M$1,IF(M18=[1]Tallgrunnlag!$A$59,[1]Tallgrunnlag!$B$59*$M$1,IF(M18=[1]Tallgrunnlag!$A$60,[1]Tallgrunnlag!$B$60*$M$1,IF(M18=[1]Tallgrunnlag!$A$61,[1]Tallgrunnlag!$B$61*$M$1,IF(M18=[1]Tallgrunnlag!$A$62,[1]Tallgrunnlag!$B$62*$M$1,IF(M18=[1]Tallgrunnlag!$A$63,[1]Tallgrunnlag!$B$63*$M$1,IF(M18=[1]Tallgrunnlag!$A$64,[1]Tallgrunnlag!$B$64*$M$1,IF(M18=[1]Tallgrunnlag!$A$65,[1]Tallgrunnlag!$B$65*$M$1,IF(M18=[1]Tallgrunnlag!$A$66,[1]Tallgrunnlag!$B$66*$M$1,IF(M18=[1]Tallgrunnlag!$A$67,[1]Tallgrunnlag!$B$67*$M$1,IF(M18=[1]Tallgrunnlag!$A$68,[1]Tallgrunnlag!$B$68*$M$1,IF(M18=[1]Tallgrunnlag!$A$69,[1]Tallgrunnlag!$B$69*$M$1,IF(M18=[1]Tallgrunnlag!$A$70,[1]Tallgrunnlag!$B$70*$M$1,IF(M18=[1]Tallgrunnlag!$A$71,[1]Tallgrunnlag!$B$71*$M$1,IF(M18=[1]Tallgrunnlag!$A$72,[1]Tallgrunnlag!$B$72*$M$1,IF(M18=[1]Tallgrunnlag!$A$73,[1]Tallgrunnlag!$B$73*$M$1,IF(M18=[1]Tallgrunnlag!$A$74,[1]Tallgrunnlag!$B$74*$M$1,IF(M18=[1]Tallgrunnlag!$A$75,[1]Tallgrunnlag!$B$75*$M$1,IF(M18=[1]Tallgrunnlag!$A$76,[1]Tallgrunnlag!$B$76*$M$1,IF(M18=[1]Tallgrunnlag!$A$77,[1]Tallgrunnlag!$B$77*$M$1,IF(M18=[1]Tallgrunnlag!$A$78,[1]Tallgrunnlag!$B$78*$M$1,IF(M18=[1]Tallgrunnlag!$A$79,[1]Tallgrunnlag!$B$79*$M$1,IF(M18=[1]Tallgrunnlag!$A$82,[1]Tallgrunnlag!$B$82*$M$1))))))))))))))))))))))))</f>
        <v>76</v>
      </c>
      <c r="O18" s="37">
        <f t="shared" si="2"/>
        <v>2</v>
      </c>
    </row>
    <row r="19" spans="1:15" x14ac:dyDescent="0.25">
      <c r="A19" s="18"/>
      <c r="B19" s="18"/>
      <c r="C19" s="18"/>
      <c r="D19" s="19">
        <f>IF(A19=[1]Tallgrunnlag!$A$3,[1]Tallgrunnlag!$B$3,IF(A19=[1]Tallgrunnlag!$A$4,[1]Tallgrunnlag!$B$4,IF(A19=[1]Tallgrunnlag!$A$5,[1]Tallgrunnlag!$B$5,IF(A19=[1]Tallgrunnlag!$A$6,[1]Tallgrunnlag!$B$6,IF(A19=[1]Tallgrunnlag!$A$7,[1]Tallgrunnlag!$B$7)))))+IF(A19=[1]Tallgrunnlag!$A$8,[1]Tallgrunnlag!$B$8,IF(A19=[1]Tallgrunnlag!$A$9,[1]Tallgrunnlag!$B$9,IF(A19=[1]Tallgrunnlag!$A$10,[1]Tallgrunnlag!$B$10,IF(A19=[1]Tallgrunnlag!$A$11,[1]Tallgrunnlag!$B$11,IF(A19=[1]Tallgrunnlag!$A$12,[1]Tallgrunnlag!$B$12,IF(A19=[1]Tallgrunnlag!$A$13,[1]Tallgrunnlag!$B$13,IF(A19=[1]Tallgrunnlag!$A$14,[1]Tallgrunnlag!$B$14,IF(A19=[1]Tallgrunnlag!$A$15,[1]Tallgrunnlag!$B$15,IF(A19=[1]Tallgrunnlag!$A$16,[1]Tallgrunnlag!$B$16,IF(A19=[1]Tallgrunnlag!$A$17,[1]Tallgrunnlag!$B$17,IF(A19=[1]Tallgrunnlag!$A$18,[1]Tallgrunnlag!$B$18,IF(A19=[1]Tallgrunnlag!$A$19,[1]Tallgrunnlag!$B$19,IF(A19=[1]Tallgrunnlag!$A$20,[1]Tallgrunnlag!$B$20,IF(A19=[1]Tallgrunnlag!$A$21,[1]Tallgrunnlag!$B$21,IF(A19=[1]Tallgrunnlag!$A$22,[1]Tallgrunnlag!$B$22,IF(A19=[1]Tallgrunnlag!$A$23,[1]Tallgrunnlag!$B$23,IF(A19=[1]Tallgrunnlag!$A$24,[1]Tallgrunnlag!$B$24,IF(A19=[1]Tallgrunnlag!$A$25,[1]Tallgrunnlag!$B$25,IF(A19=[1]Tallgrunnlag!$A$26,[1]Tallgrunnlag!$B$26,IF(A19=[1]Tallgrunnlag!$A$27,[1]Tallgrunnlag!$B$27,IF(A19=[1]Tallgrunnlag!$A$28,[1]Tallgrunnlag!$B$28,IF(A19=[1]Tallgrunnlag!$A$29,[1]Tallgrunnlag!$B$29,))))))))))))))))))))))</f>
        <v>0</v>
      </c>
      <c r="E19" s="20" t="b">
        <f>IF(B19=8,IF(A19=[1]Tallgrunnlag!$A$3,[1]Tallgrunnlag!$D$3,IF(A19=[1]Tallgrunnlag!$A$4,[1]Tallgrunnlag!$D$4,IF(A19=[1]Tallgrunnlag!$A$5,[1]Tallgrunnlag!$D$5,IF(A19=[1]Tallgrunnlag!$A$6,[1]Tallgrunnlag!$D$6,IF(A19=[1]Tallgrunnlag!$A$7,[1]Tallgrunnlag!$D$7)))))+IF(A19=[1]Tallgrunnlag!$A$8,[1]Tallgrunnlag!$D$8,IF(A19=[1]Tallgrunnlag!$A$9,[1]Tallgrunnlag!$D$9,IF(A19=[1]Tallgrunnlag!$A$10,[1]Tallgrunnlag!$D$10,IF(A19=[1]Tallgrunnlag!$A$11,[1]Tallgrunnlag!$D$11,IF(A19=[1]Tallgrunnlag!$A$12,[1]Tallgrunnlag!$D$12,IF(A19=[1]Tallgrunnlag!$A$13,[1]Tallgrunnlag!$D$13,IF(A19=[1]Tallgrunnlag!$A$14,[1]Tallgrunnlag!$D$14,IF(A19=[1]Tallgrunnlag!$A$15,[1]Tallgrunnlag!$D$15,IF(A19=[1]Tallgrunnlag!$A$16,[1]Tallgrunnlag!$D$16,IF(A19=[1]Tallgrunnlag!$A$17,[1]Tallgrunnlag!$D$17,IF(A19=[1]Tallgrunnlag!$A$18,[1]Tallgrunnlag!$D$18,IF(A19=[1]Tallgrunnlag!$A$19,[1]Tallgrunnlag!$D$19,IF(A19=[1]Tallgrunnlag!$A$20,[1]Tallgrunnlag!$D$20,IF(A19=[1]Tallgrunnlag!$A$21,[1]Tallgrunnlag!$D$21,IF(A19=[1]Tallgrunnlag!$A$22,[1]Tallgrunnlag!$D$22,IF(A19=[1]Tallgrunnlag!$A$23,[1]Tallgrunnlag!$D$23,IF(A19=[1]Tallgrunnlag!$A$24,[1]Tallgrunnlag!$D$24,IF(A19=[1]Tallgrunnlag!$A$25,[1]Tallgrunnlag!$D$25,IF(A19=[1]Tallgrunnlag!$A$26,[1]Tallgrunnlag!$D$26,IF(A19=[1]Tallgrunnlag!$A$27,[1]Tallgrunnlag!$D$27,IF(A19=[1]Tallgrunnlag!$A$28,[1]Tallgrunnlag!$D$28,IF(A19=[1]Tallgrunnlag!$A$29,[1]Tallgrunnlag!$D$29,)))))))))))))))))))))))</f>
        <v>0</v>
      </c>
      <c r="F19" s="20" t="b">
        <f>IF(B19=9,IF(A19=[1]Tallgrunnlag!$A$3,[1]Tallgrunnlag!$E$3,IF(A19=[1]Tallgrunnlag!$A$4,[1]Tallgrunnlag!$E$4,IF(A19=[1]Tallgrunnlag!$A$5,[1]Tallgrunnlag!$E$5,IF(A19=[1]Tallgrunnlag!$A$6,[1]Tallgrunnlag!$E$6,IF(A19=[1]Tallgrunnlag!$A$7,[1]Tallgrunnlag!$E$7)))))+IF(A19=[1]Tallgrunnlag!$A$8,[1]Tallgrunnlag!$E$8,IF(A19=[1]Tallgrunnlag!$A$9,[1]Tallgrunnlag!$E$9,IF(A19=[1]Tallgrunnlag!$A$10,[1]Tallgrunnlag!$E$10,IF(A19=[1]Tallgrunnlag!$A$11,[1]Tallgrunnlag!$E$11,IF(A19=[1]Tallgrunnlag!$A$12,[1]Tallgrunnlag!$E$12,IF(A19=[1]Tallgrunnlag!$A$13,[1]Tallgrunnlag!$E$13,IF(A19=[1]Tallgrunnlag!$A$14,[1]Tallgrunnlag!$E$14,IF(A19=[1]Tallgrunnlag!$A$15,[1]Tallgrunnlag!$E$15,IF(A19=[1]Tallgrunnlag!$A$16,[1]Tallgrunnlag!$E$16,IF(A19=[1]Tallgrunnlag!$A$17,[1]Tallgrunnlag!$E$17,IF(A19=[1]Tallgrunnlag!$A$18,[1]Tallgrunnlag!$E$18,IF(A19=[1]Tallgrunnlag!$A$19,[1]Tallgrunnlag!$E$19,IF(A19=[1]Tallgrunnlag!$A$20,[1]Tallgrunnlag!$E$20,IF(A19=[1]Tallgrunnlag!$A$21,[1]Tallgrunnlag!$E$21,IF(A19=[1]Tallgrunnlag!$A$22,[1]Tallgrunnlag!$E$22,IF(A19=[1]Tallgrunnlag!$A$23,[1]Tallgrunnlag!$E$23,IF(A19=[1]Tallgrunnlag!$A$24,[1]Tallgrunnlag!$E$24,IF(A19=[1]Tallgrunnlag!$A$25,[1]Tallgrunnlag!$E$25,IF(A19=[1]Tallgrunnlag!$A$26,[1]Tallgrunnlag!$E$26,IF(A19=[1]Tallgrunnlag!$A$27,[1]Tallgrunnlag!$E$27,IF(A19=[1]Tallgrunnlag!$A$28,[1]Tallgrunnlag!$E$28,IF(A19=[1]Tallgrunnlag!$A$29,[1]Tallgrunnlag!$E$29,)))))))))))))))))))))))</f>
        <v>0</v>
      </c>
      <c r="G19" s="20" t="b">
        <f>IF(B19=10,IF(A19=[1]Tallgrunnlag!$A$3,[1]Tallgrunnlag!$F$3,IF(A19=[1]Tallgrunnlag!$A$4,[1]Tallgrunnlag!$F$4,IF(A19=[1]Tallgrunnlag!$A$5,[1]Tallgrunnlag!$F$5,IF(A19=[1]Tallgrunnlag!$A$6,[1]Tallgrunnlag!$F$6,IF(A19=[1]Tallgrunnlag!$A$7,[1]Tallgrunnlag!$F$7)))))+IF(A19=[1]Tallgrunnlag!$A$8,[1]Tallgrunnlag!$F$8,IF(A19=[1]Tallgrunnlag!$A$9,[1]Tallgrunnlag!$F$9,IF(A19=[1]Tallgrunnlag!$A$10,[1]Tallgrunnlag!$F$10,IF(A19=[1]Tallgrunnlag!$A$11,[1]Tallgrunnlag!$F$11,IF(A19=[1]Tallgrunnlag!$A$12,[1]Tallgrunnlag!$F$12,IF(A19=[1]Tallgrunnlag!$A$13,[1]Tallgrunnlag!$F$13,IF(A19=[1]Tallgrunnlag!$A$14,[1]Tallgrunnlag!$F$14,IF(A19=[1]Tallgrunnlag!$A$15,[1]Tallgrunnlag!$F$15,IF(A19=[1]Tallgrunnlag!$A$16,[1]Tallgrunnlag!$F$16,IF(A19=[1]Tallgrunnlag!$A$17,[1]Tallgrunnlag!$F$17,IF(A19=[1]Tallgrunnlag!$A$18,[1]Tallgrunnlag!$F$18,IF(A19=[1]Tallgrunnlag!$A$19,[1]Tallgrunnlag!$F$19,IF(A19=[1]Tallgrunnlag!$A$20,[1]Tallgrunnlag!$F$20,IF(A19=[1]Tallgrunnlag!$A$21,[1]Tallgrunnlag!$F$21,IF(A19=[1]Tallgrunnlag!$A$22,[1]Tallgrunnlag!$F$22,IF(A19=[1]Tallgrunnlag!$A$23,[1]Tallgrunnlag!$F$23,IF(A19=[1]Tallgrunnlag!$A$24,[1]Tallgrunnlag!$F$24,IF(A19=[1]Tallgrunnlag!$A$25,[1]Tallgrunnlag!$F$25,IF(A19=[1]Tallgrunnlag!$A$26,[1]Tallgrunnlag!$F$26,IF(A19=[1]Tallgrunnlag!$A$27,[1]Tallgrunnlag!$F$27,IF(A19=[1]Tallgrunnlag!$A$28,[1]Tallgrunnlag!$F$28,IF(A19=[1]Tallgrunnlag!$A$29,[1]Tallgrunnlag!$F$29,)))))))))))))))))))))))</f>
        <v>0</v>
      </c>
      <c r="H19" s="20" t="str">
        <f>IF(A19=[1]Tallgrunnlag!$A$22,[1]Tallgrunnlag!$C$22/3-E42-E43-E44-E45,"")</f>
        <v/>
      </c>
      <c r="I19" s="20" t="str">
        <f>IF(A19="","",IF(A19=[1]Tallgrunnlag!$A$22,H19,IF(C19=[1]Tallgrunnlag!$B$92,((E19+F19+G19)*5),IF(C19=[1]Tallgrunnlag!$B$93,((E19+F19+G19)*4),E19+F19+G19))))</f>
        <v/>
      </c>
      <c r="J19" s="20" t="str">
        <f t="shared" si="0"/>
        <v/>
      </c>
      <c r="K19" s="21" t="str">
        <f>IF(A19="","",IF(A19=[1]Tallgrunnlag!$A$22,J19/D19,J19/D19))</f>
        <v/>
      </c>
      <c r="M19" s="35" t="s">
        <v>53</v>
      </c>
      <c r="N19" s="36">
        <f>IF(M19="","",IF(M19=[1]Tallgrunnlag!$A$58,[1]Tallgrunnlag!$B$58*$M$1,IF(M19=[1]Tallgrunnlag!$A$59,[1]Tallgrunnlag!$B$59*$M$1,IF(M19=[1]Tallgrunnlag!$A$60,[1]Tallgrunnlag!$B$60*$M$1,IF(M19=[1]Tallgrunnlag!$A$61,[1]Tallgrunnlag!$B$61*$M$1,IF(M19=[1]Tallgrunnlag!$A$62,[1]Tallgrunnlag!$B$62*$M$1,IF(M19=[1]Tallgrunnlag!$A$63,[1]Tallgrunnlag!$B$63*$M$1,IF(M19=[1]Tallgrunnlag!$A$64,[1]Tallgrunnlag!$B$64*$M$1,IF(M19=[1]Tallgrunnlag!$A$65,[1]Tallgrunnlag!$B$65*$M$1,IF(M19=[1]Tallgrunnlag!$A$66,[1]Tallgrunnlag!$B$66*$M$1,IF(M19=[1]Tallgrunnlag!$A$67,[1]Tallgrunnlag!$B$67*$M$1,IF(M19=[1]Tallgrunnlag!$A$68,[1]Tallgrunnlag!$B$68*$M$1,IF(M19=[1]Tallgrunnlag!$A$69,[1]Tallgrunnlag!$B$69*$M$1,IF(M19=[1]Tallgrunnlag!$A$70,[1]Tallgrunnlag!$B$70*$M$1,IF(M19=[1]Tallgrunnlag!$A$71,[1]Tallgrunnlag!$B$71*$M$1,IF(M19=[1]Tallgrunnlag!$A$72,[1]Tallgrunnlag!$B$72*$M$1,IF(M19=[1]Tallgrunnlag!$A$73,[1]Tallgrunnlag!$B$73*$M$1,IF(M19=[1]Tallgrunnlag!$A$74,[1]Tallgrunnlag!$B$74*$M$1,IF(M19=[1]Tallgrunnlag!$A$75,[1]Tallgrunnlag!$B$75*$M$1,IF(M19=[1]Tallgrunnlag!$A$76,[1]Tallgrunnlag!$B$76*$M$1,IF(M19=[1]Tallgrunnlag!$A$77,[1]Tallgrunnlag!$B$77*$M$1,IF(M19=[1]Tallgrunnlag!$A$78,[1]Tallgrunnlag!$B$78*$M$1,IF(M19=[1]Tallgrunnlag!$A$79,[1]Tallgrunnlag!$B$79*$M$1,IF(M19=[1]Tallgrunnlag!$A$82,[1]Tallgrunnlag!$B$82*$M$1))))))))))))))))))))))))</f>
        <v>38</v>
      </c>
      <c r="O19" s="37">
        <f t="shared" si="2"/>
        <v>1</v>
      </c>
    </row>
    <row r="20" spans="1:15" x14ac:dyDescent="0.25">
      <c r="A20" s="18"/>
      <c r="B20" s="18"/>
      <c r="C20" s="18"/>
      <c r="D20" s="19">
        <f>IF(A20=[1]Tallgrunnlag!$A$3,[1]Tallgrunnlag!$B$3,IF(A20=[1]Tallgrunnlag!$A$4,[1]Tallgrunnlag!$B$4,IF(A20=[1]Tallgrunnlag!$A$5,[1]Tallgrunnlag!$B$5,IF(A20=[1]Tallgrunnlag!$A$6,[1]Tallgrunnlag!$B$6,IF(A20=[1]Tallgrunnlag!$A$7,[1]Tallgrunnlag!$B$7)))))+IF(A20=[1]Tallgrunnlag!$A$8,[1]Tallgrunnlag!$B$8,IF(A20=[1]Tallgrunnlag!$A$9,[1]Tallgrunnlag!$B$9,IF(A20=[1]Tallgrunnlag!$A$10,[1]Tallgrunnlag!$B$10,IF(A20=[1]Tallgrunnlag!$A$11,[1]Tallgrunnlag!$B$11,IF(A20=[1]Tallgrunnlag!$A$12,[1]Tallgrunnlag!$B$12,IF(A20=[1]Tallgrunnlag!$A$13,[1]Tallgrunnlag!$B$13,IF(A20=[1]Tallgrunnlag!$A$14,[1]Tallgrunnlag!$B$14,IF(A20=[1]Tallgrunnlag!$A$15,[1]Tallgrunnlag!$B$15,IF(A20=[1]Tallgrunnlag!$A$16,[1]Tallgrunnlag!$B$16,IF(A20=[1]Tallgrunnlag!$A$17,[1]Tallgrunnlag!$B$17,IF(A20=[1]Tallgrunnlag!$A$18,[1]Tallgrunnlag!$B$18,IF(A20=[1]Tallgrunnlag!$A$19,[1]Tallgrunnlag!$B$19,IF(A20=[1]Tallgrunnlag!$A$20,[1]Tallgrunnlag!$B$20,IF(A20=[1]Tallgrunnlag!$A$21,[1]Tallgrunnlag!$B$21,IF(A20=[1]Tallgrunnlag!$A$22,[1]Tallgrunnlag!$B$22,IF(A20=[1]Tallgrunnlag!$A$23,[1]Tallgrunnlag!$B$23,IF(A20=[1]Tallgrunnlag!$A$24,[1]Tallgrunnlag!$B$24,IF(A20=[1]Tallgrunnlag!$A$25,[1]Tallgrunnlag!$B$25,IF(A20=[1]Tallgrunnlag!$A$26,[1]Tallgrunnlag!$B$26,IF(A20=[1]Tallgrunnlag!$A$27,[1]Tallgrunnlag!$B$27,IF(A20=[1]Tallgrunnlag!$A$28,[1]Tallgrunnlag!$B$28,IF(A20=[1]Tallgrunnlag!$A$29,[1]Tallgrunnlag!$B$29,))))))))))))))))))))))</f>
        <v>0</v>
      </c>
      <c r="E20" s="20" t="b">
        <f>IF(B20=8,IF(A20=[1]Tallgrunnlag!$A$3,[1]Tallgrunnlag!$D$3,IF(A20=[1]Tallgrunnlag!$A$4,[1]Tallgrunnlag!$D$4,IF(A20=[1]Tallgrunnlag!$A$5,[1]Tallgrunnlag!$D$5,IF(A20=[1]Tallgrunnlag!$A$6,[1]Tallgrunnlag!$D$6,IF(A20=[1]Tallgrunnlag!$A$7,[1]Tallgrunnlag!$D$7)))))+IF(A20=[1]Tallgrunnlag!$A$8,[1]Tallgrunnlag!$D$8,IF(A20=[1]Tallgrunnlag!$A$9,[1]Tallgrunnlag!$D$9,IF(A20=[1]Tallgrunnlag!$A$10,[1]Tallgrunnlag!$D$10,IF(A20=[1]Tallgrunnlag!$A$11,[1]Tallgrunnlag!$D$11,IF(A20=[1]Tallgrunnlag!$A$12,[1]Tallgrunnlag!$D$12,IF(A20=[1]Tallgrunnlag!$A$13,[1]Tallgrunnlag!$D$13,IF(A20=[1]Tallgrunnlag!$A$14,[1]Tallgrunnlag!$D$14,IF(A20=[1]Tallgrunnlag!$A$15,[1]Tallgrunnlag!$D$15,IF(A20=[1]Tallgrunnlag!$A$16,[1]Tallgrunnlag!$D$16,IF(A20=[1]Tallgrunnlag!$A$17,[1]Tallgrunnlag!$D$17,IF(A20=[1]Tallgrunnlag!$A$18,[1]Tallgrunnlag!$D$18,IF(A20=[1]Tallgrunnlag!$A$19,[1]Tallgrunnlag!$D$19,IF(A20=[1]Tallgrunnlag!$A$20,[1]Tallgrunnlag!$D$20,IF(A20=[1]Tallgrunnlag!$A$21,[1]Tallgrunnlag!$D$21,IF(A20=[1]Tallgrunnlag!$A$22,[1]Tallgrunnlag!$D$22,IF(A20=[1]Tallgrunnlag!$A$23,[1]Tallgrunnlag!$D$23,IF(A20=[1]Tallgrunnlag!$A$24,[1]Tallgrunnlag!$D$24,IF(A20=[1]Tallgrunnlag!$A$25,[1]Tallgrunnlag!$D$25,IF(A20=[1]Tallgrunnlag!$A$26,[1]Tallgrunnlag!$D$26,IF(A20=[1]Tallgrunnlag!$A$27,[1]Tallgrunnlag!$D$27,IF(A20=[1]Tallgrunnlag!$A$28,[1]Tallgrunnlag!$D$28,IF(A20=[1]Tallgrunnlag!$A$29,[1]Tallgrunnlag!$D$29,)))))))))))))))))))))))</f>
        <v>0</v>
      </c>
      <c r="F20" s="20" t="b">
        <f>IF(B20=9,IF(A20=[1]Tallgrunnlag!$A$3,[1]Tallgrunnlag!$E$3,IF(A20=[1]Tallgrunnlag!$A$4,[1]Tallgrunnlag!$E$4,IF(A20=[1]Tallgrunnlag!$A$5,[1]Tallgrunnlag!$E$5,IF(A20=[1]Tallgrunnlag!$A$6,[1]Tallgrunnlag!$E$6,IF(A20=[1]Tallgrunnlag!$A$7,[1]Tallgrunnlag!$E$7)))))+IF(A20=[1]Tallgrunnlag!$A$8,[1]Tallgrunnlag!$E$8,IF(A20=[1]Tallgrunnlag!$A$9,[1]Tallgrunnlag!$E$9,IF(A20=[1]Tallgrunnlag!$A$10,[1]Tallgrunnlag!$E$10,IF(A20=[1]Tallgrunnlag!$A$11,[1]Tallgrunnlag!$E$11,IF(A20=[1]Tallgrunnlag!$A$12,[1]Tallgrunnlag!$E$12,IF(A20=[1]Tallgrunnlag!$A$13,[1]Tallgrunnlag!$E$13,IF(A20=[1]Tallgrunnlag!$A$14,[1]Tallgrunnlag!$E$14,IF(A20=[1]Tallgrunnlag!$A$15,[1]Tallgrunnlag!$E$15,IF(A20=[1]Tallgrunnlag!$A$16,[1]Tallgrunnlag!$E$16,IF(A20=[1]Tallgrunnlag!$A$17,[1]Tallgrunnlag!$E$17,IF(A20=[1]Tallgrunnlag!$A$18,[1]Tallgrunnlag!$E$18,IF(A20=[1]Tallgrunnlag!$A$19,[1]Tallgrunnlag!$E$19,IF(A20=[1]Tallgrunnlag!$A$20,[1]Tallgrunnlag!$E$20,IF(A20=[1]Tallgrunnlag!$A$21,[1]Tallgrunnlag!$E$21,IF(A20=[1]Tallgrunnlag!$A$22,[1]Tallgrunnlag!$E$22,IF(A20=[1]Tallgrunnlag!$A$23,[1]Tallgrunnlag!$E$23,IF(A20=[1]Tallgrunnlag!$A$24,[1]Tallgrunnlag!$E$24,IF(A20=[1]Tallgrunnlag!$A$25,[1]Tallgrunnlag!$E$25,IF(A20=[1]Tallgrunnlag!$A$26,[1]Tallgrunnlag!$E$26,IF(A20=[1]Tallgrunnlag!$A$27,[1]Tallgrunnlag!$E$27,IF(A20=[1]Tallgrunnlag!$A$28,[1]Tallgrunnlag!$E$28,IF(A20=[1]Tallgrunnlag!$A$29,[1]Tallgrunnlag!$E$29,)))))))))))))))))))))))</f>
        <v>0</v>
      </c>
      <c r="G20" s="20" t="b">
        <f>IF(B20=10,IF(A20=[1]Tallgrunnlag!$A$3,[1]Tallgrunnlag!$F$3,IF(A20=[1]Tallgrunnlag!$A$4,[1]Tallgrunnlag!$F$4,IF(A20=[1]Tallgrunnlag!$A$5,[1]Tallgrunnlag!$F$5,IF(A20=[1]Tallgrunnlag!$A$6,[1]Tallgrunnlag!$F$6,IF(A20=[1]Tallgrunnlag!$A$7,[1]Tallgrunnlag!$F$7)))))+IF(A20=[1]Tallgrunnlag!$A$8,[1]Tallgrunnlag!$F$8,IF(A20=[1]Tallgrunnlag!$A$9,[1]Tallgrunnlag!$F$9,IF(A20=[1]Tallgrunnlag!$A$10,[1]Tallgrunnlag!$F$10,IF(A20=[1]Tallgrunnlag!$A$11,[1]Tallgrunnlag!$F$11,IF(A20=[1]Tallgrunnlag!$A$12,[1]Tallgrunnlag!$F$12,IF(A20=[1]Tallgrunnlag!$A$13,[1]Tallgrunnlag!$F$13,IF(A20=[1]Tallgrunnlag!$A$14,[1]Tallgrunnlag!$F$14,IF(A20=[1]Tallgrunnlag!$A$15,[1]Tallgrunnlag!$F$15,IF(A20=[1]Tallgrunnlag!$A$16,[1]Tallgrunnlag!$F$16,IF(A20=[1]Tallgrunnlag!$A$17,[1]Tallgrunnlag!$F$17,IF(A20=[1]Tallgrunnlag!$A$18,[1]Tallgrunnlag!$F$18,IF(A20=[1]Tallgrunnlag!$A$19,[1]Tallgrunnlag!$F$19,IF(A20=[1]Tallgrunnlag!$A$20,[1]Tallgrunnlag!$F$20,IF(A20=[1]Tallgrunnlag!$A$21,[1]Tallgrunnlag!$F$21,IF(A20=[1]Tallgrunnlag!$A$22,[1]Tallgrunnlag!$F$22,IF(A20=[1]Tallgrunnlag!$A$23,[1]Tallgrunnlag!$F$23,IF(A20=[1]Tallgrunnlag!$A$24,[1]Tallgrunnlag!$F$24,IF(A20=[1]Tallgrunnlag!$A$25,[1]Tallgrunnlag!$F$25,IF(A20=[1]Tallgrunnlag!$A$26,[1]Tallgrunnlag!$F$26,IF(A20=[1]Tallgrunnlag!$A$27,[1]Tallgrunnlag!$F$27,IF(A20=[1]Tallgrunnlag!$A$28,[1]Tallgrunnlag!$F$28,IF(A20=[1]Tallgrunnlag!$A$29,[1]Tallgrunnlag!$F$29,)))))))))))))))))))))))</f>
        <v>0</v>
      </c>
      <c r="H20" s="20" t="str">
        <f>IF(A20=[1]Tallgrunnlag!$A$22,[1]Tallgrunnlag!$C$22/3-E43-E44-E45-E46,"")</f>
        <v/>
      </c>
      <c r="I20" s="20" t="str">
        <f>IF(A20="","",IF(A20=[1]Tallgrunnlag!$A$22,H20,IF(C20=[1]Tallgrunnlag!$B$92,((E20+F20+G20)*5),IF(C20=[1]Tallgrunnlag!$B$93,((E20+F20+G20)*4),E20+F20+G20))))</f>
        <v/>
      </c>
      <c r="J20" s="20" t="str">
        <f t="shared" si="0"/>
        <v/>
      </c>
      <c r="K20" s="21" t="str">
        <f>IF(A20="","",IF(A20=[1]Tallgrunnlag!$A$22,J20/D20,J20/D20))</f>
        <v/>
      </c>
      <c r="M20" s="35" t="s">
        <v>54</v>
      </c>
      <c r="N20" s="36">
        <f>IF(M20="","",IF(M20=[1]Tallgrunnlag!$A$58,[1]Tallgrunnlag!$B$58*$M$1,IF(M20=[1]Tallgrunnlag!$A$59,[1]Tallgrunnlag!$B$59*$M$1,IF(M20=[1]Tallgrunnlag!$A$60,[1]Tallgrunnlag!$B$60*$M$1,IF(M20=[1]Tallgrunnlag!$A$61,[1]Tallgrunnlag!$B$61*$M$1,IF(M20=[1]Tallgrunnlag!$A$62,[1]Tallgrunnlag!$B$62*$M$1,IF(M20=[1]Tallgrunnlag!$A$63,[1]Tallgrunnlag!$B$63*$M$1,IF(M20=[1]Tallgrunnlag!$A$64,[1]Tallgrunnlag!$B$64*$M$1,IF(M20=[1]Tallgrunnlag!$A$65,[1]Tallgrunnlag!$B$65*$M$1,IF(M20=[1]Tallgrunnlag!$A$66,[1]Tallgrunnlag!$B$66*$M$1,IF(M20=[1]Tallgrunnlag!$A$67,[1]Tallgrunnlag!$B$67*$M$1,IF(M20=[1]Tallgrunnlag!$A$68,[1]Tallgrunnlag!$B$68*$M$1,IF(M20=[1]Tallgrunnlag!$A$69,[1]Tallgrunnlag!$B$69*$M$1,IF(M20=[1]Tallgrunnlag!$A$70,[1]Tallgrunnlag!$B$70*$M$1,IF(M20=[1]Tallgrunnlag!$A$71,[1]Tallgrunnlag!$B$71*$M$1,IF(M20=[1]Tallgrunnlag!$A$72,[1]Tallgrunnlag!$B$72*$M$1,IF(M20=[1]Tallgrunnlag!$A$73,[1]Tallgrunnlag!$B$73*$M$1,IF(M20=[1]Tallgrunnlag!$A$74,[1]Tallgrunnlag!$B$74*$M$1,IF(M20=[1]Tallgrunnlag!$A$75,[1]Tallgrunnlag!$B$75*$M$1,IF(M20=[1]Tallgrunnlag!$A$76,[1]Tallgrunnlag!$B$76*$M$1,IF(M20=[1]Tallgrunnlag!$A$77,[1]Tallgrunnlag!$B$77*$M$1,IF(M20=[1]Tallgrunnlag!$A$78,[1]Tallgrunnlag!$B$78*$M$1,IF(M20=[1]Tallgrunnlag!$A$79,[1]Tallgrunnlag!$B$79*$M$1,IF(M20=[1]Tallgrunnlag!$A$82,[1]Tallgrunnlag!$B$82*$M$1))))))))))))))))))))))))</f>
        <v>15</v>
      </c>
      <c r="O20" s="37">
        <f t="shared" si="2"/>
        <v>0.39473684210526316</v>
      </c>
    </row>
    <row r="21" spans="1:15" x14ac:dyDescent="0.25">
      <c r="A21" s="1" t="s">
        <v>55</v>
      </c>
      <c r="D21" s="38"/>
      <c r="I21" s="39">
        <f>SUM(I6:I20)</f>
        <v>0</v>
      </c>
      <c r="J21" s="39">
        <f>SUM(J6:J20)</f>
        <v>0</v>
      </c>
      <c r="K21" s="40">
        <f>SUM(K6:K20)</f>
        <v>0</v>
      </c>
      <c r="M21" s="35" t="s">
        <v>56</v>
      </c>
      <c r="N21" s="36">
        <f>IF(M21="","",IF(M21=[1]Tallgrunnlag!$A$58,[1]Tallgrunnlag!$B$58*$M$1,IF(M21=[1]Tallgrunnlag!$A$59,[1]Tallgrunnlag!$B$59*$M$1,IF(M21=[1]Tallgrunnlag!$A$60,[1]Tallgrunnlag!$B$60*$M$1,IF(M21=[1]Tallgrunnlag!$A$61,[1]Tallgrunnlag!$B$61*$M$1,IF(M21=[1]Tallgrunnlag!$A$62,[1]Tallgrunnlag!$B$62*$M$1,IF(M21=[1]Tallgrunnlag!$A$63,[1]Tallgrunnlag!$B$63*$M$1,IF(M21=[1]Tallgrunnlag!$A$64,[1]Tallgrunnlag!$B$64*$M$1,IF(M21=[1]Tallgrunnlag!$A$65,[1]Tallgrunnlag!$B$65*$M$1,IF(M21=[1]Tallgrunnlag!$A$66,[1]Tallgrunnlag!$B$66*$M$1,IF(M21=[1]Tallgrunnlag!$A$67,[1]Tallgrunnlag!$B$67*$M$1,IF(M21=[1]Tallgrunnlag!$A$68,[1]Tallgrunnlag!$B$68*$M$1,IF(M21=[1]Tallgrunnlag!$A$69,[1]Tallgrunnlag!$B$69*$M$1,IF(M21=[1]Tallgrunnlag!$A$70,[1]Tallgrunnlag!$B$70*$M$1,IF(M21=[1]Tallgrunnlag!$A$71,[1]Tallgrunnlag!$B$71*$M$1,IF(M21=[1]Tallgrunnlag!$A$72,[1]Tallgrunnlag!$B$72*$M$1,IF(M21=[1]Tallgrunnlag!$A$73,[1]Tallgrunnlag!$B$73*$M$1,IF(M21=[1]Tallgrunnlag!$A$74,[1]Tallgrunnlag!$B$74*$M$1,IF(M21=[1]Tallgrunnlag!$A$75,[1]Tallgrunnlag!$B$75*$M$1,IF(M21=[1]Tallgrunnlag!$A$76,[1]Tallgrunnlag!$B$76*$M$1,IF(M21=[1]Tallgrunnlag!$A$77,[1]Tallgrunnlag!$B$77*$M$1,IF(M21=[1]Tallgrunnlag!$A$78,[1]Tallgrunnlag!$B$78*$M$1,IF(M21=[1]Tallgrunnlag!$A$79,[1]Tallgrunnlag!$B$79*$M$1,IF(M21=[1]Tallgrunnlag!$A$82,[1]Tallgrunnlag!$B$82*$M$1))))))))))))))))))))))))</f>
        <v>8</v>
      </c>
      <c r="O21" s="37">
        <f t="shared" si="2"/>
        <v>0.21052631578947367</v>
      </c>
    </row>
    <row r="22" spans="1:15" x14ac:dyDescent="0.25">
      <c r="D22" s="38"/>
      <c r="K22" s="40"/>
      <c r="M22" s="35" t="s">
        <v>57</v>
      </c>
      <c r="N22" s="36">
        <f>IF(M22="","",IF(M22=[1]Tallgrunnlag!$A$58,[1]Tallgrunnlag!$B$58*$M$1,IF(M22=[1]Tallgrunnlag!$A$59,[1]Tallgrunnlag!$B$59*$M$1,IF(M22=[1]Tallgrunnlag!$A$60,[1]Tallgrunnlag!$B$60*$M$1,IF(M22=[1]Tallgrunnlag!$A$61,[1]Tallgrunnlag!$B$61*$M$1,IF(M22=[1]Tallgrunnlag!$A$62,[1]Tallgrunnlag!$B$62*$M$1,IF(M22=[1]Tallgrunnlag!$A$63,[1]Tallgrunnlag!$B$63*$M$1,IF(M22=[1]Tallgrunnlag!$A$64,[1]Tallgrunnlag!$B$64*$M$1,IF(M22=[1]Tallgrunnlag!$A$65,[1]Tallgrunnlag!$B$65*$M$1,IF(M22=[1]Tallgrunnlag!$A$66,[1]Tallgrunnlag!$B$66*$M$1,IF(M22=[1]Tallgrunnlag!$A$67,[1]Tallgrunnlag!$B$67*$M$1,IF(M22=[1]Tallgrunnlag!$A$68,[1]Tallgrunnlag!$B$68*$M$1,IF(M22=[1]Tallgrunnlag!$A$69,[1]Tallgrunnlag!$B$69*$M$1,IF(M22=[1]Tallgrunnlag!$A$70,[1]Tallgrunnlag!$B$70*$M$1,IF(M22=[1]Tallgrunnlag!$A$71,[1]Tallgrunnlag!$B$71*$M$1,IF(M22=[1]Tallgrunnlag!$A$72,[1]Tallgrunnlag!$B$72*$M$1,IF(M22=[1]Tallgrunnlag!$A$73,[1]Tallgrunnlag!$B$73*$M$1,IF(M22=[1]Tallgrunnlag!$A$74,[1]Tallgrunnlag!$B$74*$M$1,IF(M22=[1]Tallgrunnlag!$A$75,[1]Tallgrunnlag!$B$75*$M$1,IF(M22=[1]Tallgrunnlag!$A$76,[1]Tallgrunnlag!$B$76*$M$1,IF(M22=[1]Tallgrunnlag!$A$77,[1]Tallgrunnlag!$B$77*$M$1,IF(M22=[1]Tallgrunnlag!$A$78,[1]Tallgrunnlag!$B$78*$M$1,IF(M22=[1]Tallgrunnlag!$A$79,[1]Tallgrunnlag!$B$79*$M$1,IF(M22=[1]Tallgrunnlag!$A$82,[1]Tallgrunnlag!$B$82*$M$1))))))))))))))))))))))))</f>
        <v>6</v>
      </c>
      <c r="O22" s="37">
        <f t="shared" si="2"/>
        <v>0.15789473684210525</v>
      </c>
    </row>
    <row r="23" spans="1:15" x14ac:dyDescent="0.25">
      <c r="A23" s="1" t="s">
        <v>58</v>
      </c>
      <c r="M23" s="35" t="s">
        <v>59</v>
      </c>
      <c r="N23" s="36">
        <v>10</v>
      </c>
      <c r="O23" s="37">
        <f t="shared" si="2"/>
        <v>0.26315789473684209</v>
      </c>
    </row>
    <row r="24" spans="1:15" x14ac:dyDescent="0.25">
      <c r="A24" s="41" t="str">
        <f>IF(D24=664,"Styrking","")</f>
        <v>Styrking</v>
      </c>
      <c r="B24" s="18"/>
      <c r="C24" s="20"/>
      <c r="D24" s="19">
        <f>IF(I40&gt;0.5,664,0)</f>
        <v>664</v>
      </c>
      <c r="E24" s="20"/>
      <c r="F24" s="20"/>
      <c r="G24" s="20"/>
      <c r="H24" s="20"/>
      <c r="I24" s="42">
        <f>IF(A24="","",FLOOR(I40,0.5))</f>
        <v>15</v>
      </c>
      <c r="J24" s="42">
        <f t="shared" ref="J24:J25" si="3">IF(A24="","",I24*38)</f>
        <v>570</v>
      </c>
      <c r="K24" s="43">
        <f>IF(A24="","",IF(A24=[1]Tallgrunnlag!$A$22,J24/D24,J24/D24))</f>
        <v>0.85843373493975905</v>
      </c>
      <c r="M24" s="35" t="s">
        <v>60</v>
      </c>
      <c r="N24" s="36">
        <f>IF(M24="","",IF(M24=[1]Tallgrunnlag!$A$58,[1]Tallgrunnlag!$B$58*$M$1,IF(M24=[1]Tallgrunnlag!$A$59,[1]Tallgrunnlag!$B$59*$M$1,IF(M24=[1]Tallgrunnlag!$A$60,[1]Tallgrunnlag!$B$60*$M$1,IF(M24=[1]Tallgrunnlag!$A$61,[1]Tallgrunnlag!$B$61*$M$1,IF(M24=[1]Tallgrunnlag!$A$62,[1]Tallgrunnlag!$B$62*$M$1,IF(M24=[1]Tallgrunnlag!$A$63,[1]Tallgrunnlag!$B$63*$M$1,IF(M24=[1]Tallgrunnlag!$A$64,[1]Tallgrunnlag!$B$64*$M$1,IF(M24=[1]Tallgrunnlag!$A$65,[1]Tallgrunnlag!$B$65*$M$1,IF(M24=[1]Tallgrunnlag!$A$66,[1]Tallgrunnlag!$B$66*$M$1,IF(M24=[1]Tallgrunnlag!$A$67,[1]Tallgrunnlag!$B$67*$M$1,IF(M24=[1]Tallgrunnlag!$A$68,[1]Tallgrunnlag!$B$68*$M$1,IF(M24=[1]Tallgrunnlag!$A$69,[1]Tallgrunnlag!$B$69*$M$1,IF(M24=[1]Tallgrunnlag!$A$70,[1]Tallgrunnlag!$B$70*$M$1,IF(M24=[1]Tallgrunnlag!$A$71,[1]Tallgrunnlag!$B$71*$M$1,IF(M24=[1]Tallgrunnlag!$A$72,[1]Tallgrunnlag!$B$72*$M$1,IF(M24=[1]Tallgrunnlag!$A$73,[1]Tallgrunnlag!$B$73*$M$1,IF(M24=[1]Tallgrunnlag!$A$74,[1]Tallgrunnlag!$B$74*$M$1,IF(M24=[1]Tallgrunnlag!$A$75,[1]Tallgrunnlag!$B$75*$M$1,IF(M24=[1]Tallgrunnlag!$A$76,[1]Tallgrunnlag!$B$76*$M$1,IF(M24=[1]Tallgrunnlag!$A$77,[1]Tallgrunnlag!$B$77*$M$1,IF(M24=[1]Tallgrunnlag!$A$78,[1]Tallgrunnlag!$B$78*$M$1,IF(M24=[1]Tallgrunnlag!$A$79,[1]Tallgrunnlag!$B$79*$M$1,IF(M24=[1]Tallgrunnlag!$A$82,[1]Tallgrunnlag!$B$82*$M$1))))))))))))))))))))))))</f>
        <v>2</v>
      </c>
      <c r="O24" s="37">
        <f t="shared" si="2"/>
        <v>5.2631578947368418E-2</v>
      </c>
    </row>
    <row r="25" spans="1:15" x14ac:dyDescent="0.25">
      <c r="A25" s="41"/>
      <c r="B25" s="18"/>
      <c r="C25" s="20"/>
      <c r="D25" s="19"/>
      <c r="E25" s="20"/>
      <c r="F25" s="20"/>
      <c r="G25" s="20"/>
      <c r="H25" s="20"/>
      <c r="I25" s="42" t="str">
        <f>IF(A25="","",IF(A25=[1]Tallgrunnlag!$A$22,H25,IF(C25=[1]Tallgrunnlag!$B$92,((E25+F25+G25)*5),IF(C25=[1]Tallgrunnlag!$B$93,((E25+F25+G25)*4),E25+F25+G25))))</f>
        <v/>
      </c>
      <c r="J25" s="42" t="str">
        <f t="shared" si="3"/>
        <v/>
      </c>
      <c r="K25" s="21" t="str">
        <f>IF(A25="","",IF(A25=[1]Tallgrunnlag!$A$22,J25/D25,J25/D25))</f>
        <v/>
      </c>
      <c r="M25" s="35" t="s">
        <v>61</v>
      </c>
      <c r="N25" s="36">
        <f>IF(M25="","",IF(M25=[1]Tallgrunnlag!$A$58,[1]Tallgrunnlag!$B$58*$M$1,IF(M25=[1]Tallgrunnlag!$A$59,[1]Tallgrunnlag!$B$59*$M$1,IF(M25=[1]Tallgrunnlag!$A$60,[1]Tallgrunnlag!$B$60*$M$1,IF(M25=[1]Tallgrunnlag!$A$61,[1]Tallgrunnlag!$B$61*$M$1,IF(M25=[1]Tallgrunnlag!$A$62,[1]Tallgrunnlag!$B$62*$M$1,IF(M25=[1]Tallgrunnlag!$A$63,[1]Tallgrunnlag!$B$63*$M$1,IF(M25=[1]Tallgrunnlag!$A$64,[1]Tallgrunnlag!$B$64*$M$1,IF(M25=[1]Tallgrunnlag!$A$65,[1]Tallgrunnlag!$B$65*$M$1,IF(M25=[1]Tallgrunnlag!$A$66,[1]Tallgrunnlag!$B$66*$M$1,IF(M25=[1]Tallgrunnlag!$A$67,[1]Tallgrunnlag!$B$67*$M$1,IF(M25=[1]Tallgrunnlag!$A$68,[1]Tallgrunnlag!$B$68*$M$1,IF(M25=[1]Tallgrunnlag!$A$69,[1]Tallgrunnlag!$B$69*$M$1,IF(M25=[1]Tallgrunnlag!$A$70,[1]Tallgrunnlag!$B$70*$M$1,IF(M25=[1]Tallgrunnlag!$A$71,[1]Tallgrunnlag!$B$71*$M$1,IF(M25=[1]Tallgrunnlag!$A$72,[1]Tallgrunnlag!$B$72*$M$1,IF(M25=[1]Tallgrunnlag!$A$73,[1]Tallgrunnlag!$B$73*$M$1,IF(M25=[1]Tallgrunnlag!$A$74,[1]Tallgrunnlag!$B$74*$M$1,IF(M25=[1]Tallgrunnlag!$A$75,[1]Tallgrunnlag!$B$75*$M$1,IF(M25=[1]Tallgrunnlag!$A$76,[1]Tallgrunnlag!$B$76*$M$1,IF(M25=[1]Tallgrunnlag!$A$77,[1]Tallgrunnlag!$B$77*$M$1,IF(M25=[1]Tallgrunnlag!$A$78,[1]Tallgrunnlag!$B$78*$M$1,IF(M25=[1]Tallgrunnlag!$A$79,[1]Tallgrunnlag!$B$79*$M$1,IF(M25=[1]Tallgrunnlag!$A$82,[1]Tallgrunnlag!$B$82*$M$1))))))))))))))))))))))))</f>
        <v>95</v>
      </c>
      <c r="O25" s="37">
        <f t="shared" si="2"/>
        <v>2.5</v>
      </c>
    </row>
    <row r="26" spans="1:15" x14ac:dyDescent="0.25">
      <c r="A26" s="44" t="s">
        <v>62</v>
      </c>
      <c r="B26" s="45"/>
      <c r="C26" s="45"/>
      <c r="D26" s="46"/>
      <c r="E26" s="45"/>
      <c r="F26" s="45"/>
      <c r="G26" s="45"/>
      <c r="H26" s="45"/>
      <c r="I26" s="47">
        <f>SUM(I24:I25)</f>
        <v>15</v>
      </c>
      <c r="J26" s="47">
        <f>SUM(J24:J25)</f>
        <v>570</v>
      </c>
      <c r="K26" s="48">
        <f>SUM(K24:K25)</f>
        <v>0.85843373493975905</v>
      </c>
      <c r="M26" s="35" t="s">
        <v>63</v>
      </c>
      <c r="N26" s="36">
        <f>IF(M26="","",IF(M26=[1]Tallgrunnlag!$A$58,[1]Tallgrunnlag!$B$58*$M$1,IF(M26=[1]Tallgrunnlag!$A$59,[1]Tallgrunnlag!$B$59*$M$1,IF(M26=[1]Tallgrunnlag!$A$60,[1]Tallgrunnlag!$B$60*$M$1,IF(M26=[1]Tallgrunnlag!$A$61,[1]Tallgrunnlag!$B$61*$M$1,IF(M26=[1]Tallgrunnlag!$A$62,[1]Tallgrunnlag!$B$62*$M$1,IF(M26=[1]Tallgrunnlag!$A$63,[1]Tallgrunnlag!$B$63*$M$1,IF(M26=[1]Tallgrunnlag!$A$64,[1]Tallgrunnlag!$B$64*$M$1,IF(M26=[1]Tallgrunnlag!$A$65,[1]Tallgrunnlag!$B$65*$M$1,IF(M26=[1]Tallgrunnlag!$A$66,[1]Tallgrunnlag!$B$66*$M$1,IF(M26=[1]Tallgrunnlag!$A$67,[1]Tallgrunnlag!$B$67*$M$1,IF(M26=[1]Tallgrunnlag!$A$68,[1]Tallgrunnlag!$B$68*$M$1,IF(M26=[1]Tallgrunnlag!$A$69,[1]Tallgrunnlag!$B$69*$M$1,IF(M26=[1]Tallgrunnlag!$A$70,[1]Tallgrunnlag!$B$70*$M$1,IF(M26=[1]Tallgrunnlag!$A$71,[1]Tallgrunnlag!$B$71*$M$1,IF(M26=[1]Tallgrunnlag!$A$72,[1]Tallgrunnlag!$B$72*$M$1,IF(M26=[1]Tallgrunnlag!$A$73,[1]Tallgrunnlag!$B$73*$M$1,IF(M26=[1]Tallgrunnlag!$A$74,[1]Tallgrunnlag!$B$74*$M$1,IF(M26=[1]Tallgrunnlag!$A$75,[1]Tallgrunnlag!$B$75*$M$1,IF(M26=[1]Tallgrunnlag!$A$76,[1]Tallgrunnlag!$B$76*$M$1,IF(M26=[1]Tallgrunnlag!$A$77,[1]Tallgrunnlag!$B$77*$M$1,IF(M26=[1]Tallgrunnlag!$A$78,[1]Tallgrunnlag!$B$78*$M$1,IF(M26=[1]Tallgrunnlag!$A$79,[1]Tallgrunnlag!$B$79*$M$1,IF(M26=[1]Tallgrunnlag!$A$82,[1]Tallgrunnlag!$B$82*$M$1))))))))))))))))))))))))</f>
        <v>30</v>
      </c>
      <c r="O26" s="37">
        <f t="shared" si="2"/>
        <v>0.78947368421052633</v>
      </c>
    </row>
    <row r="27" spans="1:15" x14ac:dyDescent="0.25">
      <c r="A27" s="1"/>
      <c r="D27" s="38"/>
      <c r="I27" s="39"/>
      <c r="J27" s="39"/>
      <c r="K27" s="40"/>
      <c r="M27" s="35" t="s">
        <v>64</v>
      </c>
      <c r="N27" s="36">
        <f>IF(M27="","",IF(M27=[1]Tallgrunnlag!$A$58,[1]Tallgrunnlag!$B$58*$M$1,IF(M27=[1]Tallgrunnlag!$A$59,[1]Tallgrunnlag!$B$59*$M$1,IF(M27=[1]Tallgrunnlag!$A$60,[1]Tallgrunnlag!$B$60*$M$1,IF(M27=[1]Tallgrunnlag!$A$61,[1]Tallgrunnlag!$B$61*$M$1,IF(M27=[1]Tallgrunnlag!$A$62,[1]Tallgrunnlag!$B$62*$M$1,IF(M27=[1]Tallgrunnlag!$A$63,[1]Tallgrunnlag!$B$63*$M$1,IF(M27=[1]Tallgrunnlag!$A$64,[1]Tallgrunnlag!$B$64*$M$1,IF(M27=[1]Tallgrunnlag!$A$65,[1]Tallgrunnlag!$B$65*$M$1,IF(M27=[1]Tallgrunnlag!$A$66,[1]Tallgrunnlag!$B$66*$M$1,IF(M27=[1]Tallgrunnlag!$A$67,[1]Tallgrunnlag!$B$67*$M$1,IF(M27=[1]Tallgrunnlag!$A$68,[1]Tallgrunnlag!$B$68*$M$1,IF(M27=[1]Tallgrunnlag!$A$69,[1]Tallgrunnlag!$B$69*$M$1,IF(M27=[1]Tallgrunnlag!$A$70,[1]Tallgrunnlag!$B$70*$M$1,IF(M27=[1]Tallgrunnlag!$A$71,[1]Tallgrunnlag!$B$71*$M$1,IF(M27=[1]Tallgrunnlag!$A$72,[1]Tallgrunnlag!$B$72*$M$1,IF(M27=[1]Tallgrunnlag!$A$73,[1]Tallgrunnlag!$B$73*$M$1,IF(M27=[1]Tallgrunnlag!$A$74,[1]Tallgrunnlag!$B$74*$M$1,IF(M27=[1]Tallgrunnlag!$A$75,[1]Tallgrunnlag!$B$75*$M$1,IF(M27=[1]Tallgrunnlag!$A$76,[1]Tallgrunnlag!$B$76*$M$1,IF(M27=[1]Tallgrunnlag!$A$77,[1]Tallgrunnlag!$B$77*$M$1,IF(M27=[1]Tallgrunnlag!$A$78,[1]Tallgrunnlag!$B$78*$M$1,IF(M27=[1]Tallgrunnlag!$A$79,[1]Tallgrunnlag!$B$79*$M$1,IF(M27=[1]Tallgrunnlag!$A$82,[1]Tallgrunnlag!$B$82*$M$1))))))))))))))))))))))))</f>
        <v>47.5</v>
      </c>
      <c r="O27" s="37">
        <f t="shared" si="2"/>
        <v>1.25</v>
      </c>
    </row>
    <row r="28" spans="1:15" x14ac:dyDescent="0.25">
      <c r="A28" s="44" t="s">
        <v>65</v>
      </c>
      <c r="B28" s="45"/>
      <c r="C28" s="45"/>
      <c r="D28" s="49"/>
      <c r="E28" s="45"/>
      <c r="F28" s="45"/>
      <c r="G28" s="45"/>
      <c r="H28" s="50"/>
      <c r="I28" s="47">
        <f>I21+I26</f>
        <v>15</v>
      </c>
      <c r="J28" s="47">
        <f>J21+J26</f>
        <v>570</v>
      </c>
      <c r="K28" s="48">
        <f>K21+K26</f>
        <v>0.85843373493975905</v>
      </c>
      <c r="M28" s="35"/>
      <c r="N28" s="36" t="str">
        <f>IF(M28="","",IF(M28=[1]Tallgrunnlag!$A$58,[1]Tallgrunnlag!$B$58*$M$1,IF(M28=[1]Tallgrunnlag!$A$59,[1]Tallgrunnlag!$B$59*$M$1,IF(M28=[1]Tallgrunnlag!$A$60,[1]Tallgrunnlag!$B$60*$M$1,IF(M28=[1]Tallgrunnlag!$A$61,[1]Tallgrunnlag!$B$61*$M$1,IF(M28=[1]Tallgrunnlag!$A$62,[1]Tallgrunnlag!$B$62*$M$1,IF(M28=[1]Tallgrunnlag!$A$63,[1]Tallgrunnlag!$B$63*$M$1,IF(M28=[1]Tallgrunnlag!$A$64,[1]Tallgrunnlag!$B$64*$M$1,IF(M28=[1]Tallgrunnlag!$A$65,[1]Tallgrunnlag!$B$65*$M$1,IF(M28=[1]Tallgrunnlag!$A$66,[1]Tallgrunnlag!$B$66*$M$1,IF(M28=[1]Tallgrunnlag!$A$67,[1]Tallgrunnlag!$B$67*$M$1,IF(M28=[1]Tallgrunnlag!$A$68,[1]Tallgrunnlag!$B$68*$M$1,IF(M28=[1]Tallgrunnlag!$A$69,[1]Tallgrunnlag!$B$69*$M$1,IF(M28=[1]Tallgrunnlag!$A$70,[1]Tallgrunnlag!$B$70*$M$1,IF(M28=[1]Tallgrunnlag!$A$71,[1]Tallgrunnlag!$B$71*$M$1,IF(M28=[1]Tallgrunnlag!$A$72,[1]Tallgrunnlag!$B$72*$M$1,IF(M28=[1]Tallgrunnlag!$A$73,[1]Tallgrunnlag!$B$73*$M$1,IF(M28=[1]Tallgrunnlag!$A$74,[1]Tallgrunnlag!$B$74*$M$1,IF(M28=[1]Tallgrunnlag!$A$75,[1]Tallgrunnlag!$B$75*$M$1,IF(M28=[1]Tallgrunnlag!$A$76,[1]Tallgrunnlag!$B$76*$M$1,IF(M28=[1]Tallgrunnlag!$A$77,[1]Tallgrunnlag!$B$77*$M$1,IF(M28=[1]Tallgrunnlag!$A$78,[1]Tallgrunnlag!$B$78*$M$1,IF(M28=[1]Tallgrunnlag!$A$79,[1]Tallgrunnlag!$B$79*$M$1,IF(M28=[1]Tallgrunnlag!$A$82,[1]Tallgrunnlag!$B$82*$M$1))))))))))))))))))))))))</f>
        <v/>
      </c>
      <c r="O28" s="37" t="str">
        <f t="shared" si="2"/>
        <v/>
      </c>
    </row>
    <row r="29" spans="1:15" x14ac:dyDescent="0.25">
      <c r="D29" s="8"/>
      <c r="I29" s="39"/>
      <c r="J29" s="39"/>
      <c r="M29" s="35"/>
      <c r="N29" s="36" t="str">
        <f>IF(M29="","",IF(M29=[1]Tallgrunnlag!$A$58,[1]Tallgrunnlag!$B$58*$M$1,IF(M29=[1]Tallgrunnlag!$A$59,[1]Tallgrunnlag!$B$59*$M$1,IF(M29=[1]Tallgrunnlag!$A$60,[1]Tallgrunnlag!$B$60*$M$1,IF(M29=[1]Tallgrunnlag!$A$61,[1]Tallgrunnlag!$B$61*$M$1,IF(M29=[1]Tallgrunnlag!$A$62,[1]Tallgrunnlag!$B$62*$M$1,IF(M29=[1]Tallgrunnlag!$A$63,[1]Tallgrunnlag!$B$63*$M$1,IF(M29=[1]Tallgrunnlag!$A$64,[1]Tallgrunnlag!$B$64*$M$1,IF(M29=[1]Tallgrunnlag!$A$65,[1]Tallgrunnlag!$B$65*$M$1,IF(M29=[1]Tallgrunnlag!$A$66,[1]Tallgrunnlag!$B$66*$M$1,IF(M29=[1]Tallgrunnlag!$A$67,[1]Tallgrunnlag!$B$67*$M$1,IF(M29=[1]Tallgrunnlag!$A$68,[1]Tallgrunnlag!$B$68*$M$1,IF(M29=[1]Tallgrunnlag!$A$69,[1]Tallgrunnlag!$B$69*$M$1,IF(M29=[1]Tallgrunnlag!$A$70,[1]Tallgrunnlag!$B$70*$M$1,IF(M29=[1]Tallgrunnlag!$A$71,[1]Tallgrunnlag!$B$71*$M$1,IF(M29=[1]Tallgrunnlag!$A$72,[1]Tallgrunnlag!$B$72*$M$1,IF(M29=[1]Tallgrunnlag!$A$73,[1]Tallgrunnlag!$B$73*$M$1,IF(M29=[1]Tallgrunnlag!$A$74,[1]Tallgrunnlag!$B$74*$M$1,IF(M29=[1]Tallgrunnlag!$A$75,[1]Tallgrunnlag!$B$75*$M$1,IF(M29=[1]Tallgrunnlag!$A$76,[1]Tallgrunnlag!$B$76*$M$1,IF(M29=[1]Tallgrunnlag!$A$77,[1]Tallgrunnlag!$B$77*$M$1,IF(M29=[1]Tallgrunnlag!$A$78,[1]Tallgrunnlag!$B$78*$M$1,IF(M29=[1]Tallgrunnlag!$A$79,[1]Tallgrunnlag!$B$79*$M$1,IF(M29=[1]Tallgrunnlag!$A$82,[1]Tallgrunnlag!$B$82*$M$1))))))))))))))))))))))))</f>
        <v/>
      </c>
      <c r="O29" s="37" t="str">
        <f t="shared" si="2"/>
        <v/>
      </c>
    </row>
    <row r="30" spans="1:15" x14ac:dyDescent="0.25">
      <c r="A30" s="1" t="s">
        <v>46</v>
      </c>
      <c r="D30" s="8"/>
      <c r="F30" t="s">
        <v>66</v>
      </c>
      <c r="M30" s="35"/>
      <c r="N30" s="36" t="str">
        <f>IF(M30="","",IF(M30=[1]Tallgrunnlag!$A$58,[1]Tallgrunnlag!$B$58*$M$1,IF(M30=[1]Tallgrunnlag!$A$59,[1]Tallgrunnlag!$B$59*$M$1,IF(M30=[1]Tallgrunnlag!$A$60,[1]Tallgrunnlag!$B$60*$M$1,IF(M30=[1]Tallgrunnlag!$A$61,[1]Tallgrunnlag!$B$61*$M$1,IF(M30=[1]Tallgrunnlag!$A$62,[1]Tallgrunnlag!$B$62*$M$1,IF(M30=[1]Tallgrunnlag!$A$63,[1]Tallgrunnlag!$B$63*$M$1,IF(M30=[1]Tallgrunnlag!$A$64,[1]Tallgrunnlag!$B$64*$M$1,IF(M30=[1]Tallgrunnlag!$A$65,[1]Tallgrunnlag!$B$65*$M$1,IF(M30=[1]Tallgrunnlag!$A$66,[1]Tallgrunnlag!$B$66*$M$1,IF(M30=[1]Tallgrunnlag!$A$67,[1]Tallgrunnlag!$B$67*$M$1,IF(M30=[1]Tallgrunnlag!$A$68,[1]Tallgrunnlag!$B$68*$M$1,IF(M30=[1]Tallgrunnlag!$A$69,[1]Tallgrunnlag!$B$69*$M$1,IF(M30=[1]Tallgrunnlag!$A$70,[1]Tallgrunnlag!$B$70*$M$1,IF(M30=[1]Tallgrunnlag!$A$71,[1]Tallgrunnlag!$B$71*$M$1,IF(M30=[1]Tallgrunnlag!$A$72,[1]Tallgrunnlag!$B$72*$M$1,IF(M30=[1]Tallgrunnlag!$A$73,[1]Tallgrunnlag!$B$73*$M$1,IF(M30=[1]Tallgrunnlag!$A$74,[1]Tallgrunnlag!$B$74*$M$1,IF(M30=[1]Tallgrunnlag!$A$75,[1]Tallgrunnlag!$B$75*$M$1,IF(M30=[1]Tallgrunnlag!$A$76,[1]Tallgrunnlag!$B$76*$M$1,IF(M30=[1]Tallgrunnlag!$A$77,[1]Tallgrunnlag!$B$77*$M$1,IF(M30=[1]Tallgrunnlag!$A$78,[1]Tallgrunnlag!$B$78*$M$1,IF(M30=[1]Tallgrunnlag!$A$79,[1]Tallgrunnlag!$B$79*$M$1,IF(M30=[1]Tallgrunnlag!$A$82,[1]Tallgrunnlag!$B$82*$M$1))))))))))))))))))))))))</f>
        <v/>
      </c>
      <c r="O30" s="37" t="str">
        <f t="shared" si="2"/>
        <v/>
      </c>
    </row>
    <row r="31" spans="1:15" x14ac:dyDescent="0.25">
      <c r="A31" s="20" t="str">
        <f>IF(M2=[1]Tallgrunnlag!A47,M2,IF(M2=[1]Tallgrunnlag!A45,M2,""))</f>
        <v>Kontaktlærer 3</v>
      </c>
      <c r="B31" s="51"/>
      <c r="C31" s="20"/>
      <c r="D31" s="52">
        <f>IF(M2=[1]Tallgrunnlag!A47,[1]Tallgrunnlag!B47,IF(M2=[1]Tallgrunnlag!A45,[1]Tallgrunnlag!B45,0))</f>
        <v>664</v>
      </c>
      <c r="E31" s="42">
        <f>IF(A31=[1]Tallgrunnlag!A47,[1]Tallgrunnlag!C47,IF(A31=[1]Tallgrunnlag!A45,[1]Tallgrunnlag!C45,0))</f>
        <v>1.33</v>
      </c>
      <c r="F31" s="20">
        <f>IF(A31="","",B31)</f>
        <v>0</v>
      </c>
      <c r="G31" s="20"/>
      <c r="H31" s="20"/>
      <c r="I31" s="42">
        <f>IF(A31="","",E31)</f>
        <v>1.33</v>
      </c>
      <c r="J31" s="42">
        <f>IF(A31="","",I31*38)</f>
        <v>50.540000000000006</v>
      </c>
      <c r="K31" s="53">
        <f>IF(A31="","",IF(A31=[1]Tallgrunnlag!A42,50%,J31/D31))</f>
        <v>7.6114457831325311E-2</v>
      </c>
      <c r="M31" s="35"/>
      <c r="N31" s="36"/>
      <c r="O31" s="37"/>
    </row>
    <row r="32" spans="1:15" x14ac:dyDescent="0.25">
      <c r="A32" s="18" t="s">
        <v>67</v>
      </c>
      <c r="B32" s="54"/>
      <c r="C32" s="20"/>
      <c r="D32" s="52">
        <f>IF(A32=[1]Tallgrunnlag!$A$34,[1]Tallgrunnlag!$B$34,IF(A32=[1]Tallgrunnlag!$A$35,[1]Tallgrunnlag!$B$35,IF(A32=[1]Tallgrunnlag!$A$36,[1]Tallgrunnlag!$B$36,IF(A32=[1]Tallgrunnlag!$A$37,[1]Tallgrunnlag!$B$37,IF(A32=[1]Tallgrunnlag!$A$38,[1]Tallgrunnlag!$B$38,IF(A32=[1]Tallgrunnlag!$A$39,[1]Tallgrunnlag!$B$39,IF(A32=[1]Tallgrunnlag!$A$40,[1]Tallgrunnlag!$B$40,IF(A32=[1]Tallgrunnlag!$A$41,[1]Tallgrunnlag!$B$41,IF(A32=[1]Tallgrunnlag!$A$42,[1]Tallgrunnlag!$B$42,IF(A32=[1]Tallgrunnlag!$A$43,[1]Tallgrunnlag!$B$43,IF(A32=[1]Tallgrunnlag!$A$44,[1]Tallgrunnlag!$B$44,IF(A32=[1]Tallgrunnlag!$A$45,[1]Tallgrunnlag!$B$45,IF(A32=[1]Tallgrunnlag!$A$46,[1]Tallgrunnlag!$B$46)))))))))))))</f>
        <v>664</v>
      </c>
      <c r="E32" s="42">
        <f>IF(A32=[1]Tallgrunnlag!$A$34,[1]Tallgrunnlag!$C$34,IF(A32=[1]Tallgrunnlag!$A$35,[1]Tallgrunnlag!$C$35,IF(A32=[1]Tallgrunnlag!$A$36,[1]Tallgrunnlag!$C$36,IF(A32=[1]Tallgrunnlag!$A$37,[1]Tallgrunnlag!$C$37,IF(A32=[1]Tallgrunnlag!$A$38,[1]Tallgrunnlag!$C$38,IF(A32=[1]Tallgrunnlag!$A$39,[1]Tallgrunnlag!$C$39,IF(A32=[1]Tallgrunnlag!$A$40,[1]Tallgrunnlag!$C$40,IF(A32=[1]Tallgrunnlag!$A$41,[1]Tallgrunnlag!$C$41,IF(A32=[1]Tallgrunnlag!$A$42,[1]Tallgrunnlag!$C$42,IF(A32=[1]Tallgrunnlag!$A$43,[1]Tallgrunnlag!$C$43,IF(A32=[1]Tallgrunnlag!$A$44,[1]Tallgrunnlag!$C$44,IF(A32=[1]Tallgrunnlag!$A$45,[1]Tallgrunnlag!$C$45,IF(A32=[1]Tallgrunnlag!$A$46,[1]Tallgrunnlag!$C$46,IF(A32=[1]Tallgrunnlag!$A$47,[1]Tallgrunnlag!$C$47))))))))))))))</f>
        <v>1</v>
      </c>
      <c r="F32" s="20">
        <f>IF(A32="","",B32)</f>
        <v>0</v>
      </c>
      <c r="G32" s="20"/>
      <c r="H32" s="20"/>
      <c r="I32" s="42">
        <f>IF(A32="","",IF(A32=[1]Tallgrunnlag!$A$38,E32*$M$1,IF(A32=[1]Tallgrunnlag!$A$39,E32*$M$1,IF(A32=[1]Tallgrunnlag!$A$40,E32*$M$1,E32))))</f>
        <v>1</v>
      </c>
      <c r="J32" s="42">
        <f>IF(A32="","",I32*38)</f>
        <v>38</v>
      </c>
      <c r="K32" s="53">
        <f>IF(A32="","",J32/D32)</f>
        <v>5.7228915662650599E-2</v>
      </c>
      <c r="M32" s="35"/>
      <c r="N32" s="36"/>
      <c r="O32" s="37"/>
    </row>
    <row r="33" spans="1:18" x14ac:dyDescent="0.25">
      <c r="A33" s="18"/>
      <c r="B33" s="54"/>
      <c r="C33" s="20"/>
      <c r="D33" s="52" t="b">
        <f>IF(A33=[1]Tallgrunnlag!$A$34,[1]Tallgrunnlag!$B$34,IF(A33=[1]Tallgrunnlag!$A$35,[1]Tallgrunnlag!$B$35,IF(A33=[1]Tallgrunnlag!$A$36,[1]Tallgrunnlag!$B$36,IF(A33=[1]Tallgrunnlag!$A$37,[1]Tallgrunnlag!$B$37,IF(A33=[1]Tallgrunnlag!$A$38,[1]Tallgrunnlag!$B$38,IF(A33=[1]Tallgrunnlag!$A$39,[1]Tallgrunnlag!$B$39,IF(A33=[1]Tallgrunnlag!$A$40,[1]Tallgrunnlag!$B$40,IF(A33=[1]Tallgrunnlag!$A$41,[1]Tallgrunnlag!$B$41,IF(A33=[1]Tallgrunnlag!$A$42,[1]Tallgrunnlag!$B$42,IF(A33=[1]Tallgrunnlag!$A$43,[1]Tallgrunnlag!$B$43,IF(A33=[1]Tallgrunnlag!$A$44,[1]Tallgrunnlag!$B$44,IF(A33=[1]Tallgrunnlag!$A$45,[1]Tallgrunnlag!$B$45,IF(A33=[1]Tallgrunnlag!$A$46,[1]Tallgrunnlag!$B$46)))))))))))))</f>
        <v>0</v>
      </c>
      <c r="E33" s="42" t="b">
        <f>IF(A33=[1]Tallgrunnlag!$A$34,[1]Tallgrunnlag!$C$34,IF(A33=[1]Tallgrunnlag!$A$35,[1]Tallgrunnlag!$C$35,IF(A33=[1]Tallgrunnlag!$A$36,[1]Tallgrunnlag!$C$36,IF(A33=[1]Tallgrunnlag!$A$37,[1]Tallgrunnlag!$C$37,IF(A33=[1]Tallgrunnlag!$A$38,[1]Tallgrunnlag!$C$38,IF(A33=[1]Tallgrunnlag!$A$39,[1]Tallgrunnlag!$C$39,IF(A33=[1]Tallgrunnlag!$A$40,[1]Tallgrunnlag!$C$40,IF(A33=[1]Tallgrunnlag!$A$41,[1]Tallgrunnlag!$C$41,IF(A33=[1]Tallgrunnlag!$A$42,[1]Tallgrunnlag!$C$42,IF(A33=[1]Tallgrunnlag!$A$43,[1]Tallgrunnlag!$C$43,IF(A33=[1]Tallgrunnlag!$A$44,[1]Tallgrunnlag!$C$44,IF(A33=[1]Tallgrunnlag!$A$45,[1]Tallgrunnlag!$C$45,IF(A33=[1]Tallgrunnlag!$A$46,[1]Tallgrunnlag!$C$46,IF(A33=[1]Tallgrunnlag!$A$47,[1]Tallgrunnlag!$C$47))))))))))))))</f>
        <v>0</v>
      </c>
      <c r="F33" s="20" t="str">
        <f t="shared" ref="F33:F35" si="4">IF(A33="","",B33)</f>
        <v/>
      </c>
      <c r="G33" s="20"/>
      <c r="H33" s="20"/>
      <c r="I33" s="42" t="str">
        <f>IF(A33="","",IF(A33=[1]Tallgrunnlag!$A$38,E33*$M$1,IF(A33=[1]Tallgrunnlag!$A$39,E33*$M$1,IF(A33=[1]Tallgrunnlag!$A$40,E33*$M$1,E33))))</f>
        <v/>
      </c>
      <c r="J33" s="42" t="str">
        <f t="shared" ref="J33:J35" si="5">IF(A33="","",I33*38)</f>
        <v/>
      </c>
      <c r="K33" s="53" t="str">
        <f t="shared" ref="K33:K35" si="6">IF(A33="","",J33/D33)</f>
        <v/>
      </c>
      <c r="M33" s="35"/>
      <c r="N33" s="36"/>
      <c r="O33" s="37"/>
    </row>
    <row r="34" spans="1:18" x14ac:dyDescent="0.25">
      <c r="A34" s="18"/>
      <c r="B34" s="54"/>
      <c r="C34" s="20"/>
      <c r="D34" s="52" t="b">
        <f>IF(A34=[1]Tallgrunnlag!$A$34,[1]Tallgrunnlag!$B$34,IF(A34=[1]Tallgrunnlag!$A$35,[1]Tallgrunnlag!$B$35,IF(A34=[1]Tallgrunnlag!$A$36,[1]Tallgrunnlag!$B$36,IF(A34=[1]Tallgrunnlag!$A$37,[1]Tallgrunnlag!$B$37,IF(A34=[1]Tallgrunnlag!$A$38,[1]Tallgrunnlag!$B$38,IF(A34=[1]Tallgrunnlag!$A$39,[1]Tallgrunnlag!$B$39,IF(A34=[1]Tallgrunnlag!$A$40,[1]Tallgrunnlag!$B$40,IF(A34=[1]Tallgrunnlag!$A$41,[1]Tallgrunnlag!$B$41,IF(A34=[1]Tallgrunnlag!$A$42,[1]Tallgrunnlag!$B$42,IF(A34=[1]Tallgrunnlag!$A$43,[1]Tallgrunnlag!$B$43,IF(A34=[1]Tallgrunnlag!$A$44,[1]Tallgrunnlag!$B$44,IF(A34=[1]Tallgrunnlag!$A$45,[1]Tallgrunnlag!$B$45,IF(A34=[1]Tallgrunnlag!$A$46,[1]Tallgrunnlag!$B$46)))))))))))))</f>
        <v>0</v>
      </c>
      <c r="E34" s="42" t="b">
        <f>IF(A34=[1]Tallgrunnlag!$A$34,[1]Tallgrunnlag!$C$34,IF(A34=[1]Tallgrunnlag!$A$35,[1]Tallgrunnlag!$C$35,IF(A34=[1]Tallgrunnlag!$A$36,[1]Tallgrunnlag!$C$36,IF(A34=[1]Tallgrunnlag!$A$37,[1]Tallgrunnlag!$C$37,IF(A34=[1]Tallgrunnlag!$A$38,[1]Tallgrunnlag!$C$38,IF(A34=[1]Tallgrunnlag!$A$39,[1]Tallgrunnlag!$C$39,IF(A34=[1]Tallgrunnlag!$A$40,[1]Tallgrunnlag!$C$40,IF(A34=[1]Tallgrunnlag!$A$41,[1]Tallgrunnlag!$C$41,IF(A34=[1]Tallgrunnlag!$A$42,[1]Tallgrunnlag!$C$42,IF(A34=[1]Tallgrunnlag!$A$43,[1]Tallgrunnlag!$C$43,IF(A34=[1]Tallgrunnlag!$A$44,[1]Tallgrunnlag!$C$44,IF(A34=[1]Tallgrunnlag!$A$45,[1]Tallgrunnlag!$C$45,IF(A34=[1]Tallgrunnlag!$A$46,[1]Tallgrunnlag!$C$46,IF(A34=[1]Tallgrunnlag!$A$47,[1]Tallgrunnlag!$C$47))))))))))))))</f>
        <v>0</v>
      </c>
      <c r="F34" s="20" t="str">
        <f t="shared" si="4"/>
        <v/>
      </c>
      <c r="G34" s="20"/>
      <c r="H34" s="20"/>
      <c r="I34" s="42" t="str">
        <f>IF(A34="","",IF(A34=[1]Tallgrunnlag!$A$38,E34*$M$1,IF(A34=[1]Tallgrunnlag!$A$39,E34*$M$1,IF(A34=[1]Tallgrunnlag!$A$40,E34*$M$1,E34))))</f>
        <v/>
      </c>
      <c r="J34" s="42" t="str">
        <f t="shared" si="5"/>
        <v/>
      </c>
      <c r="K34" s="53" t="str">
        <f t="shared" si="6"/>
        <v/>
      </c>
      <c r="M34" s="26" t="s">
        <v>68</v>
      </c>
      <c r="N34" s="34">
        <f>N10-J38-SUM(N14:N33)</f>
        <v>5.4600000000000364</v>
      </c>
      <c r="O34" s="34">
        <f t="shared" si="1"/>
        <v>0.14368421052631675</v>
      </c>
    </row>
    <row r="35" spans="1:18" x14ac:dyDescent="0.25">
      <c r="A35" s="18"/>
      <c r="B35" s="54"/>
      <c r="C35" s="20"/>
      <c r="D35" s="52" t="b">
        <f>IF(A35=[1]Tallgrunnlag!$A$34,[1]Tallgrunnlag!$B$34,IF(A35=[1]Tallgrunnlag!$A$35,[1]Tallgrunnlag!$B$35,IF(A35=[1]Tallgrunnlag!$A$36,[1]Tallgrunnlag!$B$36,IF(A35=[1]Tallgrunnlag!$A$37,[1]Tallgrunnlag!$B$37,IF(A35=[1]Tallgrunnlag!$A$38,[1]Tallgrunnlag!$B$38,IF(A35=[1]Tallgrunnlag!$A$39,[1]Tallgrunnlag!$B$39,IF(A35=[1]Tallgrunnlag!$A$40,[1]Tallgrunnlag!$B$40,IF(A35=[1]Tallgrunnlag!$A$41,[1]Tallgrunnlag!$B$41,IF(A35=[1]Tallgrunnlag!$A$42,[1]Tallgrunnlag!$B$42,IF(A35=[1]Tallgrunnlag!$A$43,[1]Tallgrunnlag!$B$43,IF(A35=[1]Tallgrunnlag!$A$44,[1]Tallgrunnlag!$B$44,IF(A35=[1]Tallgrunnlag!$A$45,[1]Tallgrunnlag!$B$45,IF(A35=[1]Tallgrunnlag!$A$46,[1]Tallgrunnlag!$B$46)))))))))))))</f>
        <v>0</v>
      </c>
      <c r="E35" s="42" t="b">
        <f>IF(A35=[1]Tallgrunnlag!$A$34,[1]Tallgrunnlag!$C$34,IF(A35=[1]Tallgrunnlag!$A$35,[1]Tallgrunnlag!$C$35,IF(A35=[1]Tallgrunnlag!$A$36,[1]Tallgrunnlag!$C$36,IF(A35=[1]Tallgrunnlag!$A$37,[1]Tallgrunnlag!$C$37,IF(A35=[1]Tallgrunnlag!$A$38,[1]Tallgrunnlag!$C$38,IF(A35=[1]Tallgrunnlag!$A$39,[1]Tallgrunnlag!$C$39,IF(A35=[1]Tallgrunnlag!$A$40,[1]Tallgrunnlag!$C$40,IF(A35=[1]Tallgrunnlag!$A$41,[1]Tallgrunnlag!$C$41,IF(A35=[1]Tallgrunnlag!$A$42,[1]Tallgrunnlag!$C$42,IF(A35=[1]Tallgrunnlag!$A$43,[1]Tallgrunnlag!$C$43,IF(A35=[1]Tallgrunnlag!$A$44,[1]Tallgrunnlag!$C$44,IF(A35=[1]Tallgrunnlag!$A$45,[1]Tallgrunnlag!$C$45,IF(A35=[1]Tallgrunnlag!$A$46,[1]Tallgrunnlag!$C$46,IF(A35=[1]Tallgrunnlag!$A$47,[1]Tallgrunnlag!$C$47))))))))))))))</f>
        <v>0</v>
      </c>
      <c r="F35" s="20" t="str">
        <f t="shared" si="4"/>
        <v/>
      </c>
      <c r="G35" s="20"/>
      <c r="H35" s="20"/>
      <c r="I35" s="20" t="str">
        <f t="shared" ref="I35" si="7">IF(A35="","",E35)</f>
        <v/>
      </c>
      <c r="J35" s="20" t="str">
        <f t="shared" si="5"/>
        <v/>
      </c>
      <c r="K35" s="53" t="str">
        <f t="shared" si="6"/>
        <v/>
      </c>
      <c r="R35" s="39"/>
    </row>
    <row r="36" spans="1:18" ht="15.75" x14ac:dyDescent="0.3">
      <c r="A36" s="55" t="s">
        <v>69</v>
      </c>
      <c r="B36" s="45"/>
      <c r="C36" s="45"/>
      <c r="D36" s="45"/>
      <c r="E36" s="45"/>
      <c r="F36" s="45"/>
      <c r="G36" s="45"/>
      <c r="H36" s="45"/>
      <c r="I36" s="56">
        <f>SUM(I31:I35)</f>
        <v>2.33</v>
      </c>
      <c r="J36" s="56">
        <f>SUM(J31:J35)</f>
        <v>88.54</v>
      </c>
      <c r="K36" s="57">
        <f>SUM(K31:K35)</f>
        <v>0.1333433734939759</v>
      </c>
      <c r="R36" s="58"/>
    </row>
    <row r="37" spans="1:18" x14ac:dyDescent="0.25">
      <c r="M37" t="s">
        <v>70</v>
      </c>
    </row>
    <row r="38" spans="1:18" ht="15.75" thickBot="1" x14ac:dyDescent="0.3">
      <c r="A38" s="59" t="s">
        <v>71</v>
      </c>
      <c r="B38" s="60"/>
      <c r="C38" s="60"/>
      <c r="D38" s="60"/>
      <c r="E38" s="60"/>
      <c r="F38" s="60"/>
      <c r="G38" s="60"/>
      <c r="H38" s="60"/>
      <c r="I38" s="61">
        <f>I36+I28</f>
        <v>17.329999999999998</v>
      </c>
      <c r="J38" s="61">
        <f>J36+J28</f>
        <v>658.54</v>
      </c>
      <c r="K38" s="62">
        <f>K36+K28</f>
        <v>0.99177710843373501</v>
      </c>
    </row>
    <row r="39" spans="1:18" ht="15.75" thickTop="1" x14ac:dyDescent="0.25">
      <c r="M39" t="s">
        <v>72</v>
      </c>
    </row>
    <row r="40" spans="1:18" hidden="1" x14ac:dyDescent="0.25">
      <c r="A40" t="s">
        <v>73</v>
      </c>
      <c r="D40">
        <f>664*K40</f>
        <v>575.45999999999992</v>
      </c>
      <c r="F40" t="str">
        <f>IF(A32="Teamleder","Teamleder",IF(A33="Teamleder","Teamleder",IF(A34="Teamleder","Teamleder",IF(A35="Teamleder","Teamleder",""))))</f>
        <v>Teamleder</v>
      </c>
      <c r="I40" s="39">
        <f>D40/38</f>
        <v>15.143684210526313</v>
      </c>
      <c r="J40" s="39">
        <f>D40</f>
        <v>575.45999999999992</v>
      </c>
      <c r="K40" s="24">
        <f>M1-K21-K36</f>
        <v>0.86665662650602404</v>
      </c>
    </row>
    <row r="41" spans="1:18" ht="15.75" thickBot="1" x14ac:dyDescent="0.3">
      <c r="A41" s="63" t="s">
        <v>74</v>
      </c>
      <c r="B41" s="63"/>
      <c r="C41" s="63"/>
      <c r="D41" s="64">
        <f>664*K41</f>
        <v>5.4599999999999529</v>
      </c>
      <c r="E41" s="63"/>
      <c r="F41" s="63"/>
      <c r="G41" s="63"/>
      <c r="H41" s="63"/>
      <c r="I41" s="64">
        <f>D41/38</f>
        <v>0.14368421052631455</v>
      </c>
      <c r="J41" s="64">
        <f>D41</f>
        <v>5.4599999999999529</v>
      </c>
      <c r="K41" s="65">
        <f>M1-K38</f>
        <v>8.2228915662649893E-3</v>
      </c>
    </row>
    <row r="42" spans="1:18" ht="15.75" thickTop="1" x14ac:dyDescent="0.25"/>
  </sheetData>
  <mergeCells count="3">
    <mergeCell ref="B1:I1"/>
    <mergeCell ref="J1:L1"/>
    <mergeCell ref="J2:L2"/>
  </mergeCells>
  <conditionalFormatting sqref="K38">
    <cfRule type="cellIs" dxfId="5" priority="2" operator="lessThan">
      <formula>1</formula>
    </cfRule>
    <cfRule type="cellIs" dxfId="4" priority="3" operator="greaterThan">
      <formula>1</formula>
    </cfRule>
  </conditionalFormatting>
  <conditionalFormatting sqref="K41">
    <cfRule type="cellIs" dxfId="3" priority="1" operator="lessThan">
      <formula>0</formula>
    </cfRule>
  </conditionalFormatting>
  <dataValidations count="9">
    <dataValidation type="list" allowBlank="1" showInputMessage="1" showErrorMessage="1" sqref="M2" xr:uid="{4AE25B24-F070-4EC8-88F3-AC005A4FE1A4}">
      <formula1>Stillingstype</formula1>
    </dataValidation>
    <dataValidation type="list" allowBlank="1" showInputMessage="1" showErrorMessage="1" sqref="B31" xr:uid="{B72126E2-143D-4A23-9ECE-B1EC24988678}">
      <formula1>Klasser</formula1>
    </dataValidation>
    <dataValidation type="list" allowBlank="1" showInputMessage="1" showErrorMessage="1" sqref="B24:B25 B32:B35 B6:B20" xr:uid="{18917327-C1D4-46D5-B329-BBDA3E0668F3}">
      <formula1>Trinn</formula1>
    </dataValidation>
    <dataValidation type="list" allowBlank="1" showInputMessage="1" showErrorMessage="1" sqref="B1" xr:uid="{9B8454C0-33C8-44D0-8298-7CCEB0F0463E}">
      <formula1>Ansatte</formula1>
    </dataValidation>
    <dataValidation type="list" allowBlank="1" showInputMessage="1" showErrorMessage="1" sqref="A25" xr:uid="{39BD94D5-B2E9-4C58-84D0-7EBCAB5C5BA9}">
      <formula1>Styrking</formula1>
    </dataValidation>
    <dataValidation type="list" allowBlank="1" showInputMessage="1" showErrorMessage="1" sqref="M14:M33" xr:uid="{0D3A37EE-A3BF-4F8D-9D84-9685C2C1E841}">
      <formula1>Fellestid</formula1>
    </dataValidation>
    <dataValidation type="list" allowBlank="1" showInputMessage="1" showErrorMessage="1" sqref="A32:A35" xr:uid="{B21C1725-9E07-46DD-9049-B84FED7FFF1A}">
      <formula1>Nedslag</formula1>
    </dataValidation>
    <dataValidation type="list" allowBlank="1" showInputMessage="1" showErrorMessage="1" sqref="A6:A20" xr:uid="{A128AE0B-A33A-4F2D-88C0-128CCF87662D}">
      <formula1>FAG</formula1>
    </dataValidation>
    <dataValidation type="list" allowBlank="1" showInputMessage="1" showErrorMessage="1" sqref="C6:C20" xr:uid="{34C35E3B-2C9D-40D1-993D-A8E28540DFBA}">
      <formula1>Klasse</formula1>
    </dataValidation>
  </dataValidations>
  <hyperlinks>
    <hyperlink ref="A1" location="Stillingsprosent!A1" display="NAVN:" xr:uid="{F687B916-D7D1-4D45-852C-CDB6B023C18B}"/>
  </hyperlink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FD471-5C1D-4AFB-AEF5-584C1C77D01D}">
  <sheetPr codeName="Ark4"/>
  <dimension ref="A1:G68"/>
  <sheetViews>
    <sheetView workbookViewId="0">
      <selection activeCell="F10" sqref="F10"/>
    </sheetView>
  </sheetViews>
  <sheetFormatPr baseColWidth="10" defaultRowHeight="15" x14ac:dyDescent="0.25"/>
  <cols>
    <col min="2" max="2" width="18.5703125" bestFit="1" customWidth="1"/>
    <col min="3" max="4" width="14" customWidth="1"/>
    <col min="7" max="7" width="19.28515625" bestFit="1" customWidth="1"/>
  </cols>
  <sheetData>
    <row r="1" spans="1:7" ht="21" x14ac:dyDescent="0.35">
      <c r="A1" s="76" t="s">
        <v>95</v>
      </c>
    </row>
    <row r="2" spans="1:7" ht="15.75" thickBot="1" x14ac:dyDescent="0.3"/>
    <row r="3" spans="1:7" x14ac:dyDescent="0.25">
      <c r="B3" s="67" t="s">
        <v>96</v>
      </c>
      <c r="C3" s="68"/>
      <c r="D3" s="69"/>
      <c r="E3" s="71"/>
      <c r="G3" s="1"/>
    </row>
    <row r="4" spans="1:7" x14ac:dyDescent="0.25">
      <c r="B4" s="70" t="s">
        <v>0</v>
      </c>
      <c r="C4" s="71">
        <f>Stillingsplan!B16</f>
        <v>0</v>
      </c>
      <c r="D4" s="72">
        <f>Stillingsplan!B17</f>
        <v>0</v>
      </c>
      <c r="E4" s="71"/>
    </row>
    <row r="5" spans="1:7" x14ac:dyDescent="0.25">
      <c r="B5" s="70" t="s">
        <v>1</v>
      </c>
      <c r="C5" s="71">
        <f>Stillingsplan!C16</f>
        <v>0</v>
      </c>
      <c r="D5" s="72">
        <f>Stillingsplan!C17</f>
        <v>0</v>
      </c>
      <c r="E5" s="71"/>
    </row>
    <row r="6" spans="1:7" x14ac:dyDescent="0.25">
      <c r="B6" s="70" t="s">
        <v>2</v>
      </c>
      <c r="C6" s="71">
        <f>Stillingsplan!D16</f>
        <v>0</v>
      </c>
      <c r="D6" s="72">
        <f>Stillingsplan!D17</f>
        <v>0</v>
      </c>
      <c r="E6" s="71"/>
    </row>
    <row r="7" spans="1:7" ht="15.75" thickBot="1" x14ac:dyDescent="0.3">
      <c r="B7" s="73" t="s">
        <v>3</v>
      </c>
      <c r="C7" s="74">
        <f>Stillingsplan!E16</f>
        <v>0</v>
      </c>
      <c r="D7" s="75">
        <f>Stillingsplan!E17</f>
        <v>0</v>
      </c>
      <c r="E7" s="71"/>
    </row>
    <row r="8" spans="1:7" ht="15.75" thickBot="1" x14ac:dyDescent="0.3"/>
    <row r="9" spans="1:7" x14ac:dyDescent="0.25">
      <c r="B9" s="67" t="s">
        <v>11</v>
      </c>
      <c r="C9" s="68"/>
      <c r="D9" s="69"/>
    </row>
    <row r="10" spans="1:7" x14ac:dyDescent="0.25">
      <c r="B10" s="70" t="s">
        <v>86</v>
      </c>
      <c r="C10" s="71">
        <f>Stillingsplan!B13</f>
        <v>0</v>
      </c>
      <c r="D10" s="72">
        <f>Stillingsplan!C13</f>
        <v>0</v>
      </c>
    </row>
    <row r="11" spans="1:7" x14ac:dyDescent="0.25">
      <c r="B11" s="70" t="s">
        <v>97</v>
      </c>
      <c r="C11" s="71">
        <f>Stillingsplan!D13</f>
        <v>0</v>
      </c>
      <c r="D11" s="72">
        <f>Stillingsplan!E13</f>
        <v>0</v>
      </c>
    </row>
    <row r="12" spans="1:7" x14ac:dyDescent="0.25">
      <c r="B12" s="70" t="s">
        <v>88</v>
      </c>
      <c r="C12" s="71">
        <f>Stillingsplan!F13</f>
        <v>0</v>
      </c>
      <c r="D12" s="72">
        <f>Stillingsplan!G13</f>
        <v>0</v>
      </c>
    </row>
    <row r="13" spans="1:7" x14ac:dyDescent="0.25">
      <c r="B13" s="70" t="s">
        <v>90</v>
      </c>
      <c r="C13" s="71">
        <f>Stillingsplan!H13</f>
        <v>0</v>
      </c>
      <c r="D13" s="72">
        <f>Stillingsplan!I13</f>
        <v>0</v>
      </c>
    </row>
    <row r="14" spans="1:7" ht="15.75" thickBot="1" x14ac:dyDescent="0.3">
      <c r="B14" s="73" t="s">
        <v>98</v>
      </c>
      <c r="C14" s="74">
        <f>Stillingsplan!J13</f>
        <v>0</v>
      </c>
      <c r="D14" s="75">
        <f>Stillingsplan!K13</f>
        <v>0</v>
      </c>
    </row>
    <row r="15" spans="1:7" ht="15.75" thickBot="1" x14ac:dyDescent="0.3"/>
    <row r="16" spans="1:7" x14ac:dyDescent="0.25">
      <c r="B16" s="67" t="s">
        <v>12</v>
      </c>
      <c r="C16" s="68"/>
      <c r="D16" s="69"/>
    </row>
    <row r="17" spans="1:7" x14ac:dyDescent="0.25">
      <c r="B17" s="70" t="s">
        <v>91</v>
      </c>
      <c r="C17" s="71">
        <f>Stillingsplan!B15</f>
        <v>0</v>
      </c>
      <c r="D17" s="72">
        <f>Stillingsplan!C15</f>
        <v>0</v>
      </c>
    </row>
    <row r="18" spans="1:7" x14ac:dyDescent="0.25">
      <c r="B18" s="70" t="s">
        <v>92</v>
      </c>
      <c r="C18" s="71" t="str">
        <f>Stillingsplan!D15</f>
        <v>Haidar</v>
      </c>
      <c r="D18" s="72">
        <f>Stillingsplan!E15</f>
        <v>0</v>
      </c>
    </row>
    <row r="19" spans="1:7" x14ac:dyDescent="0.25">
      <c r="B19" s="70" t="s">
        <v>93</v>
      </c>
      <c r="C19" s="71">
        <f>Stillingsplan!F15</f>
        <v>0</v>
      </c>
      <c r="D19" s="72">
        <f>Stillingsplan!G15</f>
        <v>0</v>
      </c>
    </row>
    <row r="20" spans="1:7" ht="15.75" thickBot="1" x14ac:dyDescent="0.3">
      <c r="B20" s="73" t="s">
        <v>99</v>
      </c>
      <c r="C20" s="74">
        <f>Stillingsplan!H15</f>
        <v>0</v>
      </c>
      <c r="D20" s="75" t="str">
        <f>Stillingsplan!I15</f>
        <v>Haidar</v>
      </c>
    </row>
    <row r="25" spans="1:7" ht="21" x14ac:dyDescent="0.35">
      <c r="A25" s="76" t="s">
        <v>80</v>
      </c>
    </row>
    <row r="26" spans="1:7" ht="15.75" thickBot="1" x14ac:dyDescent="0.3"/>
    <row r="27" spans="1:7" x14ac:dyDescent="0.25">
      <c r="B27" s="67" t="s">
        <v>96</v>
      </c>
      <c r="C27" s="68"/>
      <c r="D27" s="69"/>
      <c r="E27" s="71"/>
      <c r="G27" s="1"/>
    </row>
    <row r="28" spans="1:7" x14ac:dyDescent="0.25">
      <c r="B28" s="70" t="s">
        <v>76</v>
      </c>
      <c r="C28" s="71">
        <f>Stillingsplan!B41</f>
        <v>0</v>
      </c>
      <c r="D28" s="72">
        <f>Stillingsplan!B42</f>
        <v>0</v>
      </c>
      <c r="E28" s="71"/>
    </row>
    <row r="29" spans="1:7" x14ac:dyDescent="0.25">
      <c r="B29" s="70" t="s">
        <v>77</v>
      </c>
      <c r="C29" s="71">
        <f>Stillingsplan!C41</f>
        <v>0</v>
      </c>
      <c r="D29" s="72">
        <f>Stillingsplan!C42</f>
        <v>0</v>
      </c>
      <c r="E29" s="71"/>
    </row>
    <row r="30" spans="1:7" x14ac:dyDescent="0.25">
      <c r="B30" s="70" t="s">
        <v>78</v>
      </c>
      <c r="C30" s="71">
        <f>Stillingsplan!D41</f>
        <v>0</v>
      </c>
      <c r="D30" s="72">
        <f>Stillingsplan!D42</f>
        <v>0</v>
      </c>
      <c r="E30" s="71"/>
    </row>
    <row r="31" spans="1:7" ht="15.75" thickBot="1" x14ac:dyDescent="0.3">
      <c r="B31" s="73" t="s">
        <v>79</v>
      </c>
      <c r="C31" s="74">
        <f>Stillingsplan!E41</f>
        <v>0</v>
      </c>
      <c r="D31" s="75">
        <f>Stillingsplan!E42</f>
        <v>0</v>
      </c>
      <c r="E31" s="71"/>
    </row>
    <row r="32" spans="1:7" ht="15.75" thickBot="1" x14ac:dyDescent="0.3"/>
    <row r="33" spans="2:4" x14ac:dyDescent="0.25">
      <c r="B33" s="67" t="s">
        <v>11</v>
      </c>
      <c r="C33" s="68"/>
      <c r="D33" s="69"/>
    </row>
    <row r="34" spans="2:4" x14ac:dyDescent="0.25">
      <c r="B34" s="70" t="s">
        <v>86</v>
      </c>
      <c r="C34" s="71">
        <f>Stillingsplan!B38</f>
        <v>0</v>
      </c>
      <c r="D34" s="72">
        <f>Stillingsplan!C38</f>
        <v>0</v>
      </c>
    </row>
    <row r="35" spans="2:4" x14ac:dyDescent="0.25">
      <c r="B35" s="70" t="s">
        <v>97</v>
      </c>
      <c r="C35" s="71">
        <f>Stillingsplan!D38</f>
        <v>0</v>
      </c>
      <c r="D35" s="72">
        <f>Stillingsplan!E38</f>
        <v>0</v>
      </c>
    </row>
    <row r="36" spans="2:4" x14ac:dyDescent="0.25">
      <c r="B36" s="70" t="s">
        <v>88</v>
      </c>
      <c r="C36" s="71">
        <f>Stillingsplan!F38</f>
        <v>0</v>
      </c>
      <c r="D36" s="72">
        <f>Stillingsplan!G38</f>
        <v>0</v>
      </c>
    </row>
    <row r="37" spans="2:4" x14ac:dyDescent="0.25">
      <c r="B37" s="70" t="s">
        <v>90</v>
      </c>
      <c r="C37" s="71">
        <f>Stillingsplan!H38</f>
        <v>0</v>
      </c>
      <c r="D37" s="72">
        <f>Stillingsplan!I38</f>
        <v>0</v>
      </c>
    </row>
    <row r="38" spans="2:4" ht="15.75" thickBot="1" x14ac:dyDescent="0.3">
      <c r="B38" s="73" t="s">
        <v>98</v>
      </c>
      <c r="C38" s="74">
        <f>Stillingsplan!J38</f>
        <v>0</v>
      </c>
      <c r="D38" s="75" t="str">
        <f>Stillingsplan!K38</f>
        <v>Beatrice</v>
      </c>
    </row>
    <row r="39" spans="2:4" ht="15.75" thickBot="1" x14ac:dyDescent="0.3"/>
    <row r="40" spans="2:4" x14ac:dyDescent="0.25">
      <c r="B40" s="67" t="s">
        <v>12</v>
      </c>
      <c r="C40" s="68"/>
      <c r="D40" s="69"/>
    </row>
    <row r="41" spans="2:4" x14ac:dyDescent="0.25">
      <c r="B41" s="70" t="s">
        <v>91</v>
      </c>
      <c r="C41" s="71">
        <f>Stillingsplan!B40</f>
        <v>0</v>
      </c>
      <c r="D41" s="72">
        <f>Stillingsplan!C40</f>
        <v>0</v>
      </c>
    </row>
    <row r="42" spans="2:4" x14ac:dyDescent="0.25">
      <c r="B42" s="70" t="s">
        <v>92</v>
      </c>
      <c r="C42" s="71">
        <f>Stillingsplan!D40</f>
        <v>0</v>
      </c>
      <c r="D42" s="72">
        <f>Stillingsplan!E40</f>
        <v>0</v>
      </c>
    </row>
    <row r="43" spans="2:4" x14ac:dyDescent="0.25">
      <c r="B43" s="70" t="s">
        <v>93</v>
      </c>
      <c r="C43" s="71">
        <f>Stillingsplan!F40</f>
        <v>0</v>
      </c>
      <c r="D43" s="72">
        <f>Stillingsplan!G40</f>
        <v>0</v>
      </c>
    </row>
    <row r="44" spans="2:4" ht="15.75" thickBot="1" x14ac:dyDescent="0.3">
      <c r="B44" s="73" t="s">
        <v>99</v>
      </c>
      <c r="C44" s="74">
        <f>Stillingsplan!H40</f>
        <v>0</v>
      </c>
      <c r="D44" s="75">
        <f>Stillingsplan!I40</f>
        <v>0</v>
      </c>
    </row>
    <row r="49" spans="1:7" ht="21" x14ac:dyDescent="0.35">
      <c r="A49" s="76" t="s">
        <v>81</v>
      </c>
    </row>
    <row r="50" spans="1:7" ht="15.75" thickBot="1" x14ac:dyDescent="0.3"/>
    <row r="51" spans="1:7" x14ac:dyDescent="0.25">
      <c r="B51" s="67" t="s">
        <v>96</v>
      </c>
      <c r="C51" s="68"/>
      <c r="D51" s="69"/>
      <c r="E51" s="71"/>
      <c r="G51" s="1"/>
    </row>
    <row r="52" spans="1:7" x14ac:dyDescent="0.25">
      <c r="B52" s="70" t="s">
        <v>82</v>
      </c>
      <c r="C52" s="71">
        <f>Stillingsplan!B65</f>
        <v>0</v>
      </c>
      <c r="D52" s="72">
        <f>Stillingsplan!B66</f>
        <v>0</v>
      </c>
      <c r="E52" s="71"/>
    </row>
    <row r="53" spans="1:7" x14ac:dyDescent="0.25">
      <c r="B53" s="70" t="s">
        <v>83</v>
      </c>
      <c r="C53" s="71">
        <f>Stillingsplan!C65</f>
        <v>0</v>
      </c>
      <c r="D53" s="72">
        <f>Stillingsplan!C66</f>
        <v>0</v>
      </c>
      <c r="E53" s="71"/>
    </row>
    <row r="54" spans="1:7" x14ac:dyDescent="0.25">
      <c r="B54" s="70" t="s">
        <v>84</v>
      </c>
      <c r="C54" s="71">
        <f>Stillingsplan!D65</f>
        <v>0</v>
      </c>
      <c r="D54" s="72">
        <f>Stillingsplan!D66</f>
        <v>0</v>
      </c>
      <c r="E54" s="71"/>
    </row>
    <row r="55" spans="1:7" ht="15.75" thickBot="1" x14ac:dyDescent="0.3">
      <c r="B55" s="73" t="s">
        <v>85</v>
      </c>
      <c r="C55" s="74">
        <f>Stillingsplan!E65</f>
        <v>0</v>
      </c>
      <c r="D55" s="75">
        <f>Stillingsplan!E66</f>
        <v>0</v>
      </c>
      <c r="E55" s="71"/>
    </row>
    <row r="56" spans="1:7" ht="15.75" thickBot="1" x14ac:dyDescent="0.3"/>
    <row r="57" spans="1:7" x14ac:dyDescent="0.25">
      <c r="B57" s="67" t="s">
        <v>11</v>
      </c>
      <c r="C57" s="68"/>
      <c r="D57" s="69"/>
    </row>
    <row r="58" spans="1:7" x14ac:dyDescent="0.25">
      <c r="B58" s="70" t="s">
        <v>86</v>
      </c>
      <c r="C58" s="71">
        <f>Stillingsplan!B62</f>
        <v>0</v>
      </c>
      <c r="D58" s="72">
        <f>Stillingsplan!C62</f>
        <v>0</v>
      </c>
    </row>
    <row r="59" spans="1:7" x14ac:dyDescent="0.25">
      <c r="B59" s="70" t="s">
        <v>90</v>
      </c>
      <c r="C59" s="71">
        <f>Stillingsplan!D62</f>
        <v>0</v>
      </c>
      <c r="D59" s="72">
        <f>Stillingsplan!E62</f>
        <v>0</v>
      </c>
    </row>
    <row r="60" spans="1:7" x14ac:dyDescent="0.25">
      <c r="B60" s="70" t="s">
        <v>97</v>
      </c>
      <c r="C60" s="71">
        <f>Stillingsplan!F62</f>
        <v>0</v>
      </c>
      <c r="D60" s="72">
        <f>Stillingsplan!G62</f>
        <v>0</v>
      </c>
    </row>
    <row r="61" spans="1:7" x14ac:dyDescent="0.25">
      <c r="B61" s="70" t="s">
        <v>98</v>
      </c>
      <c r="C61" s="71">
        <f>Stillingsplan!H62</f>
        <v>0</v>
      </c>
      <c r="D61" s="72">
        <f>Stillingsplan!I62</f>
        <v>0</v>
      </c>
    </row>
    <row r="62" spans="1:7" ht="15.75" thickBot="1" x14ac:dyDescent="0.3">
      <c r="B62" s="73" t="s">
        <v>88</v>
      </c>
      <c r="C62" s="74">
        <f>Stillingsplan!J62</f>
        <v>0</v>
      </c>
      <c r="D62" s="75">
        <f>Stillingsplan!K62</f>
        <v>0</v>
      </c>
    </row>
    <row r="63" spans="1:7" ht="15.75" thickBot="1" x14ac:dyDescent="0.3"/>
    <row r="64" spans="1:7" x14ac:dyDescent="0.25">
      <c r="B64" s="67" t="s">
        <v>12</v>
      </c>
      <c r="C64" s="68"/>
      <c r="D64" s="69"/>
    </row>
    <row r="65" spans="2:4" x14ac:dyDescent="0.25">
      <c r="B65" s="70" t="s">
        <v>91</v>
      </c>
      <c r="C65" s="71">
        <f>Stillingsplan!B64</f>
        <v>0</v>
      </c>
      <c r="D65" s="72">
        <f>Stillingsplan!C64</f>
        <v>0</v>
      </c>
    </row>
    <row r="66" spans="2:4" x14ac:dyDescent="0.25">
      <c r="B66" s="70" t="s">
        <v>92</v>
      </c>
      <c r="C66" s="71">
        <f>Stillingsplan!D64</f>
        <v>0</v>
      </c>
      <c r="D66" s="72">
        <f>Stillingsplan!E64</f>
        <v>0</v>
      </c>
    </row>
    <row r="67" spans="2:4" x14ac:dyDescent="0.25">
      <c r="B67" s="70" t="s">
        <v>93</v>
      </c>
      <c r="C67" s="71">
        <f>Stillingsplan!F64</f>
        <v>0</v>
      </c>
      <c r="D67" s="72">
        <f>Stillingsplan!G64</f>
        <v>0</v>
      </c>
    </row>
    <row r="68" spans="2:4" ht="15.75" thickBot="1" x14ac:dyDescent="0.3">
      <c r="B68" s="73" t="s">
        <v>99</v>
      </c>
      <c r="C68" s="74">
        <f>Stillingsplan!H64</f>
        <v>0</v>
      </c>
      <c r="D68" s="75">
        <f>Stillingsplan!I64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M75"/>
  <sheetViews>
    <sheetView workbookViewId="0">
      <selection activeCell="C21" sqref="C21"/>
    </sheetView>
  </sheetViews>
  <sheetFormatPr baseColWidth="10" defaultRowHeight="15" x14ac:dyDescent="0.25"/>
  <cols>
    <col min="1" max="1" width="19" bestFit="1" customWidth="1"/>
    <col min="2" max="2" width="15" customWidth="1"/>
    <col min="3" max="3" width="15.5703125" customWidth="1"/>
    <col min="4" max="4" width="17.85546875" customWidth="1"/>
    <col min="5" max="5" width="18.140625" bestFit="1" customWidth="1"/>
    <col min="7" max="7" width="12.7109375" bestFit="1" customWidth="1"/>
    <col min="8" max="8" width="16.140625" customWidth="1"/>
    <col min="9" max="9" width="14.140625" customWidth="1"/>
    <col min="10" max="10" width="16.7109375" bestFit="1" customWidth="1"/>
    <col min="11" max="11" width="15.85546875" bestFit="1" customWidth="1"/>
  </cols>
  <sheetData>
    <row r="1" spans="1:13" s="3" customFormat="1" ht="15.75" x14ac:dyDescent="0.25">
      <c r="A1" s="78" t="s">
        <v>34</v>
      </c>
      <c r="B1" s="78" t="s">
        <v>0</v>
      </c>
      <c r="C1" s="78" t="s">
        <v>1</v>
      </c>
      <c r="D1" s="78" t="s">
        <v>2</v>
      </c>
      <c r="E1" s="78" t="s">
        <v>3</v>
      </c>
      <c r="F1" s="80" t="s">
        <v>105</v>
      </c>
      <c r="G1" s="79" t="s">
        <v>104</v>
      </c>
    </row>
    <row r="2" spans="1:13" x14ac:dyDescent="0.25">
      <c r="A2" t="s">
        <v>4</v>
      </c>
      <c r="B2" t="s">
        <v>107</v>
      </c>
    </row>
    <row r="3" spans="1:13" x14ac:dyDescent="0.25">
      <c r="A3" t="s">
        <v>4</v>
      </c>
      <c r="B3" s="83"/>
      <c r="C3" s="83"/>
      <c r="D3" s="83"/>
      <c r="E3" s="83"/>
    </row>
    <row r="4" spans="1:13" x14ac:dyDescent="0.25">
      <c r="A4" t="s">
        <v>5</v>
      </c>
    </row>
    <row r="5" spans="1:13" x14ac:dyDescent="0.25">
      <c r="A5" t="s">
        <v>5</v>
      </c>
      <c r="B5" s="83"/>
      <c r="C5" s="83"/>
      <c r="D5" s="83"/>
      <c r="E5" s="83"/>
    </row>
    <row r="6" spans="1:13" x14ac:dyDescent="0.25">
      <c r="A6" t="s">
        <v>6</v>
      </c>
      <c r="C6" t="s">
        <v>108</v>
      </c>
    </row>
    <row r="7" spans="1:13" x14ac:dyDescent="0.25">
      <c r="A7" t="s">
        <v>6</v>
      </c>
      <c r="B7" s="83"/>
      <c r="C7" s="83"/>
      <c r="D7" s="83"/>
      <c r="E7" s="83"/>
    </row>
    <row r="8" spans="1:13" x14ac:dyDescent="0.25">
      <c r="A8" t="s">
        <v>7</v>
      </c>
    </row>
    <row r="9" spans="1:13" x14ac:dyDescent="0.25">
      <c r="A9" t="s">
        <v>8</v>
      </c>
    </row>
    <row r="10" spans="1:13" x14ac:dyDescent="0.25">
      <c r="A10" t="s">
        <v>9</v>
      </c>
    </row>
    <row r="11" spans="1:13" x14ac:dyDescent="0.25">
      <c r="A11" t="s">
        <v>10</v>
      </c>
    </row>
    <row r="12" spans="1:13" ht="15.75" x14ac:dyDescent="0.25">
      <c r="B12" s="77" t="s">
        <v>86</v>
      </c>
      <c r="C12" s="77" t="s">
        <v>86</v>
      </c>
      <c r="D12" s="77" t="s">
        <v>87</v>
      </c>
      <c r="E12" s="77" t="s">
        <v>87</v>
      </c>
      <c r="F12" s="77" t="s">
        <v>88</v>
      </c>
      <c r="G12" s="77" t="s">
        <v>89</v>
      </c>
      <c r="H12" s="77" t="s">
        <v>90</v>
      </c>
      <c r="I12" s="77" t="s">
        <v>90</v>
      </c>
      <c r="J12" s="77" t="s">
        <v>98</v>
      </c>
      <c r="K12" s="80" t="s">
        <v>105</v>
      </c>
      <c r="M12" s="79" t="s">
        <v>106</v>
      </c>
    </row>
    <row r="13" spans="1:13" x14ac:dyDescent="0.25">
      <c r="A13" t="s">
        <v>11</v>
      </c>
    </row>
    <row r="14" spans="1:13" ht="15.75" x14ac:dyDescent="0.25">
      <c r="B14" s="77" t="s">
        <v>91</v>
      </c>
      <c r="C14" s="77" t="s">
        <v>91</v>
      </c>
      <c r="D14" s="77" t="s">
        <v>92</v>
      </c>
      <c r="E14" s="77" t="s">
        <v>92</v>
      </c>
      <c r="F14" s="77" t="s">
        <v>93</v>
      </c>
      <c r="G14" s="77" t="s">
        <v>93</v>
      </c>
      <c r="H14" s="77" t="s">
        <v>94</v>
      </c>
      <c r="I14" s="77" t="s">
        <v>94</v>
      </c>
      <c r="J14" s="80" t="s">
        <v>105</v>
      </c>
      <c r="K14" s="79" t="s">
        <v>106</v>
      </c>
    </row>
    <row r="15" spans="1:13" x14ac:dyDescent="0.25">
      <c r="A15" t="s">
        <v>109</v>
      </c>
      <c r="D15" t="s">
        <v>75</v>
      </c>
      <c r="I15" t="s">
        <v>75</v>
      </c>
    </row>
    <row r="16" spans="1:13" x14ac:dyDescent="0.25">
      <c r="A16" t="s">
        <v>13</v>
      </c>
    </row>
    <row r="17" spans="1:6" x14ac:dyDescent="0.25">
      <c r="A17" t="s">
        <v>13</v>
      </c>
    </row>
    <row r="18" spans="1:6" x14ac:dyDescent="0.25">
      <c r="A18" t="s">
        <v>13</v>
      </c>
    </row>
    <row r="19" spans="1:6" x14ac:dyDescent="0.25">
      <c r="A19" t="s">
        <v>16</v>
      </c>
    </row>
    <row r="20" spans="1:6" x14ac:dyDescent="0.25">
      <c r="A20" t="s">
        <v>17</v>
      </c>
    </row>
    <row r="21" spans="1:6" x14ac:dyDescent="0.25">
      <c r="A21" t="s">
        <v>17</v>
      </c>
    </row>
    <row r="22" spans="1:6" x14ac:dyDescent="0.25">
      <c r="A22" t="s">
        <v>18</v>
      </c>
    </row>
    <row r="23" spans="1:6" x14ac:dyDescent="0.25">
      <c r="A23" s="2" t="s">
        <v>103</v>
      </c>
    </row>
    <row r="24" spans="1:6" x14ac:dyDescent="0.25">
      <c r="A24" s="66"/>
    </row>
    <row r="26" spans="1:6" ht="15.75" x14ac:dyDescent="0.25">
      <c r="A26" s="78" t="s">
        <v>80</v>
      </c>
      <c r="B26" s="78" t="s">
        <v>76</v>
      </c>
      <c r="C26" s="78" t="s">
        <v>77</v>
      </c>
      <c r="D26" s="78" t="s">
        <v>78</v>
      </c>
      <c r="E26" s="78" t="s">
        <v>79</v>
      </c>
      <c r="F26" s="79" t="s">
        <v>102</v>
      </c>
    </row>
    <row r="27" spans="1:6" x14ac:dyDescent="0.25">
      <c r="A27" t="s">
        <v>4</v>
      </c>
    </row>
    <row r="28" spans="1:6" x14ac:dyDescent="0.25">
      <c r="A28" t="s">
        <v>4</v>
      </c>
      <c r="B28" s="83"/>
      <c r="C28" s="83"/>
      <c r="D28" s="83"/>
      <c r="E28" s="83"/>
    </row>
    <row r="29" spans="1:6" x14ac:dyDescent="0.25">
      <c r="A29" t="s">
        <v>5</v>
      </c>
    </row>
    <row r="30" spans="1:6" x14ac:dyDescent="0.25">
      <c r="A30" t="s">
        <v>5</v>
      </c>
      <c r="B30" s="83"/>
      <c r="C30" s="83"/>
      <c r="D30" s="83"/>
      <c r="E30" s="83"/>
    </row>
    <row r="31" spans="1:6" x14ac:dyDescent="0.25">
      <c r="A31" t="s">
        <v>6</v>
      </c>
    </row>
    <row r="32" spans="1:6" x14ac:dyDescent="0.25">
      <c r="A32" t="s">
        <v>6</v>
      </c>
      <c r="B32" s="83"/>
      <c r="C32" s="83"/>
      <c r="D32" s="83"/>
      <c r="E32" s="83"/>
    </row>
    <row r="33" spans="1:11" x14ac:dyDescent="0.25">
      <c r="A33" t="s">
        <v>7</v>
      </c>
    </row>
    <row r="34" spans="1:11" x14ac:dyDescent="0.25">
      <c r="A34" t="s">
        <v>8</v>
      </c>
    </row>
    <row r="35" spans="1:11" x14ac:dyDescent="0.25">
      <c r="A35" t="s">
        <v>9</v>
      </c>
    </row>
    <row r="36" spans="1:11" x14ac:dyDescent="0.25">
      <c r="A36" t="s">
        <v>10</v>
      </c>
    </row>
    <row r="37" spans="1:11" x14ac:dyDescent="0.25">
      <c r="B37" s="77" t="s">
        <v>86</v>
      </c>
      <c r="C37" s="77" t="s">
        <v>86</v>
      </c>
      <c r="D37" s="77" t="s">
        <v>87</v>
      </c>
      <c r="E37" s="77" t="s">
        <v>87</v>
      </c>
      <c r="F37" s="77" t="s">
        <v>88</v>
      </c>
      <c r="G37" s="77" t="s">
        <v>89</v>
      </c>
      <c r="H37" s="77" t="s">
        <v>90</v>
      </c>
      <c r="I37" s="77" t="s">
        <v>90</v>
      </c>
      <c r="J37" s="77" t="s">
        <v>98</v>
      </c>
      <c r="K37" s="77" t="s">
        <v>98</v>
      </c>
    </row>
    <row r="38" spans="1:11" x14ac:dyDescent="0.25">
      <c r="A38" t="s">
        <v>11</v>
      </c>
      <c r="K38" t="s">
        <v>20</v>
      </c>
    </row>
    <row r="39" spans="1:11" x14ac:dyDescent="0.25">
      <c r="B39" s="77" t="s">
        <v>91</v>
      </c>
      <c r="C39" s="77" t="s">
        <v>91</v>
      </c>
      <c r="D39" s="77" t="s">
        <v>92</v>
      </c>
      <c r="E39" s="77" t="s">
        <v>92</v>
      </c>
      <c r="F39" s="77" t="s">
        <v>93</v>
      </c>
      <c r="G39" s="77" t="s">
        <v>93</v>
      </c>
      <c r="H39" s="77" t="s">
        <v>94</v>
      </c>
      <c r="I39" s="77" t="s">
        <v>94</v>
      </c>
    </row>
    <row r="40" spans="1:11" x14ac:dyDescent="0.25">
      <c r="A40" t="s">
        <v>12</v>
      </c>
    </row>
    <row r="41" spans="1:11" x14ac:dyDescent="0.25">
      <c r="A41" t="s">
        <v>13</v>
      </c>
    </row>
    <row r="42" spans="1:11" x14ac:dyDescent="0.25">
      <c r="A42" t="s">
        <v>13</v>
      </c>
    </row>
    <row r="43" spans="1:11" x14ac:dyDescent="0.25">
      <c r="A43" t="s">
        <v>14</v>
      </c>
    </row>
    <row r="44" spans="1:11" x14ac:dyDescent="0.25">
      <c r="A44" t="s">
        <v>15</v>
      </c>
    </row>
    <row r="45" spans="1:11" x14ac:dyDescent="0.25">
      <c r="A45" t="s">
        <v>16</v>
      </c>
    </row>
    <row r="46" spans="1:11" x14ac:dyDescent="0.25">
      <c r="A46" t="s">
        <v>17</v>
      </c>
    </row>
    <row r="47" spans="1:11" x14ac:dyDescent="0.25">
      <c r="A47" t="s">
        <v>17</v>
      </c>
    </row>
    <row r="48" spans="1:11" x14ac:dyDescent="0.25">
      <c r="A48" t="s">
        <v>18</v>
      </c>
      <c r="E48" t="s">
        <v>75</v>
      </c>
    </row>
    <row r="49" spans="1:11" x14ac:dyDescent="0.25">
      <c r="A49" s="2" t="s">
        <v>100</v>
      </c>
      <c r="B49" t="s">
        <v>75</v>
      </c>
    </row>
    <row r="50" spans="1:11" ht="15.75" x14ac:dyDescent="0.25">
      <c r="A50" s="78" t="s">
        <v>81</v>
      </c>
      <c r="B50" s="78" t="s">
        <v>82</v>
      </c>
      <c r="C50" s="78" t="s">
        <v>83</v>
      </c>
      <c r="D50" s="78" t="s">
        <v>84</v>
      </c>
      <c r="E50" s="78" t="s">
        <v>85</v>
      </c>
    </row>
    <row r="51" spans="1:11" x14ac:dyDescent="0.25">
      <c r="A51" t="s">
        <v>4</v>
      </c>
    </row>
    <row r="52" spans="1:11" x14ac:dyDescent="0.25">
      <c r="A52" t="s">
        <v>4</v>
      </c>
      <c r="B52" s="83"/>
      <c r="C52" s="83"/>
      <c r="D52" s="83"/>
      <c r="E52" s="83"/>
    </row>
    <row r="53" spans="1:11" x14ac:dyDescent="0.25">
      <c r="A53" t="s">
        <v>5</v>
      </c>
    </row>
    <row r="54" spans="1:11" x14ac:dyDescent="0.25">
      <c r="A54" t="s">
        <v>5</v>
      </c>
      <c r="B54" s="83"/>
      <c r="C54" s="83"/>
      <c r="D54" s="83"/>
      <c r="E54" s="83"/>
    </row>
    <row r="55" spans="1:11" x14ac:dyDescent="0.25">
      <c r="A55" t="s">
        <v>6</v>
      </c>
    </row>
    <row r="56" spans="1:11" x14ac:dyDescent="0.25">
      <c r="A56" t="s">
        <v>6</v>
      </c>
      <c r="B56" s="83"/>
      <c r="C56" s="83"/>
      <c r="D56" s="83"/>
      <c r="E56" s="83"/>
    </row>
    <row r="57" spans="1:11" x14ac:dyDescent="0.25">
      <c r="A57" t="s">
        <v>7</v>
      </c>
    </row>
    <row r="58" spans="1:11" x14ac:dyDescent="0.25">
      <c r="A58" t="s">
        <v>8</v>
      </c>
    </row>
    <row r="59" spans="1:11" x14ac:dyDescent="0.25">
      <c r="A59" t="s">
        <v>9</v>
      </c>
    </row>
    <row r="60" spans="1:11" x14ac:dyDescent="0.25">
      <c r="A60" t="s">
        <v>10</v>
      </c>
    </row>
    <row r="61" spans="1:11" x14ac:dyDescent="0.25">
      <c r="B61" s="77" t="s">
        <v>86</v>
      </c>
      <c r="C61" s="77" t="s">
        <v>86</v>
      </c>
      <c r="D61" s="77" t="s">
        <v>87</v>
      </c>
      <c r="E61" s="77" t="s">
        <v>87</v>
      </c>
      <c r="F61" s="77" t="s">
        <v>88</v>
      </c>
      <c r="G61" s="77" t="s">
        <v>89</v>
      </c>
      <c r="H61" s="77" t="s">
        <v>90</v>
      </c>
      <c r="I61" s="77" t="s">
        <v>90</v>
      </c>
      <c r="J61" s="77" t="s">
        <v>98</v>
      </c>
      <c r="K61" s="77" t="s">
        <v>98</v>
      </c>
    </row>
    <row r="62" spans="1:11" x14ac:dyDescent="0.25">
      <c r="A62" t="s">
        <v>11</v>
      </c>
    </row>
    <row r="63" spans="1:11" x14ac:dyDescent="0.25">
      <c r="B63" s="77" t="s">
        <v>91</v>
      </c>
      <c r="C63" s="77" t="s">
        <v>91</v>
      </c>
      <c r="D63" s="77" t="s">
        <v>92</v>
      </c>
      <c r="E63" s="77" t="s">
        <v>92</v>
      </c>
      <c r="F63" s="77" t="s">
        <v>93</v>
      </c>
      <c r="G63" s="77" t="s">
        <v>93</v>
      </c>
      <c r="H63" s="77" t="s">
        <v>94</v>
      </c>
      <c r="I63" s="77" t="s">
        <v>94</v>
      </c>
    </row>
    <row r="64" spans="1:11" x14ac:dyDescent="0.25">
      <c r="A64" t="s">
        <v>12</v>
      </c>
    </row>
    <row r="65" spans="1:5" x14ac:dyDescent="0.25">
      <c r="A65" t="s">
        <v>13</v>
      </c>
    </row>
    <row r="66" spans="1:5" x14ac:dyDescent="0.25">
      <c r="A66" t="s">
        <v>13</v>
      </c>
    </row>
    <row r="67" spans="1:5" x14ac:dyDescent="0.25">
      <c r="A67" t="s">
        <v>14</v>
      </c>
    </row>
    <row r="68" spans="1:5" x14ac:dyDescent="0.25">
      <c r="A68" t="s">
        <v>15</v>
      </c>
    </row>
    <row r="69" spans="1:5" x14ac:dyDescent="0.25">
      <c r="A69" t="s">
        <v>16</v>
      </c>
    </row>
    <row r="70" spans="1:5" x14ac:dyDescent="0.25">
      <c r="A70" t="s">
        <v>17</v>
      </c>
    </row>
    <row r="71" spans="1:5" x14ac:dyDescent="0.25">
      <c r="A71" t="s">
        <v>17</v>
      </c>
    </row>
    <row r="72" spans="1:5" x14ac:dyDescent="0.25">
      <c r="A72" t="s">
        <v>18</v>
      </c>
      <c r="E72" t="s">
        <v>75</v>
      </c>
    </row>
    <row r="75" spans="1:5" ht="15.75" x14ac:dyDescent="0.25">
      <c r="A75" s="3" t="s">
        <v>37</v>
      </c>
      <c r="B75" s="3"/>
      <c r="C75" s="3"/>
      <c r="D75" s="3"/>
      <c r="E75" s="3"/>
    </row>
  </sheetData>
  <mergeCells count="18">
    <mergeCell ref="B3:C3"/>
    <mergeCell ref="D3:E3"/>
    <mergeCell ref="B5:C5"/>
    <mergeCell ref="D5:E5"/>
    <mergeCell ref="B7:C7"/>
    <mergeCell ref="D7:E7"/>
    <mergeCell ref="B28:C28"/>
    <mergeCell ref="D28:E28"/>
    <mergeCell ref="B30:C30"/>
    <mergeCell ref="D30:E30"/>
    <mergeCell ref="B32:C32"/>
    <mergeCell ref="D32:E32"/>
    <mergeCell ref="B52:C52"/>
    <mergeCell ref="D52:E52"/>
    <mergeCell ref="B54:C54"/>
    <mergeCell ref="D54:E54"/>
    <mergeCell ref="B56:C56"/>
    <mergeCell ref="D56:E56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Ark1.FylleStillingsBeskrivelsene">
                <anchor moveWithCells="1" sizeWithCells="1">
                  <from>
                    <xdr:col>6</xdr:col>
                    <xdr:colOff>695325</xdr:colOff>
                    <xdr:row>3</xdr:row>
                    <xdr:rowOff>161925</xdr:rowOff>
                  </from>
                  <to>
                    <xdr:col>9</xdr:col>
                    <xdr:colOff>76200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Ark1.Restarte">
                <anchor moveWithCells="1" sizeWithCells="1">
                  <from>
                    <xdr:col>6</xdr:col>
                    <xdr:colOff>790575</xdr:colOff>
                    <xdr:row>7</xdr:row>
                    <xdr:rowOff>104775</xdr:rowOff>
                  </from>
                  <to>
                    <xdr:col>9</xdr:col>
                    <xdr:colOff>38100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7C138-BDCC-422A-BA01-C6BFE3BD08FF}">
  <sheetPr codeName="Ark7"/>
  <dimension ref="A1:T42"/>
  <sheetViews>
    <sheetView workbookViewId="0">
      <selection activeCell="D18" sqref="D18"/>
    </sheetView>
  </sheetViews>
  <sheetFormatPr baseColWidth="10" defaultRowHeight="15" x14ac:dyDescent="0.25"/>
  <cols>
    <col min="1" max="1" width="32.42578125" customWidth="1"/>
    <col min="2" max="2" width="5.5703125" bestFit="1" customWidth="1"/>
    <col min="3" max="3" width="6.5703125" bestFit="1" customWidth="1"/>
    <col min="4" max="4" width="9" customWidth="1"/>
    <col min="5" max="6" width="7.42578125" customWidth="1"/>
    <col min="7" max="7" width="7.85546875" customWidth="1"/>
    <col min="8" max="8" width="13.7109375" customWidth="1"/>
    <col min="9" max="9" width="12.140625" customWidth="1"/>
    <col min="10" max="10" width="11.5703125" bestFit="1" customWidth="1"/>
    <col min="11" max="11" width="10.5703125" style="24" bestFit="1" customWidth="1"/>
    <col min="12" max="12" width="7.42578125" customWidth="1"/>
    <col min="13" max="13" width="42.85546875" bestFit="1" customWidth="1"/>
    <col min="14" max="14" width="10.140625" bestFit="1" customWidth="1"/>
    <col min="15" max="15" width="8.42578125" bestFit="1" customWidth="1"/>
  </cols>
  <sheetData>
    <row r="1" spans="1:20" x14ac:dyDescent="0.25">
      <c r="A1" s="4" t="s">
        <v>19</v>
      </c>
      <c r="B1" s="81"/>
      <c r="C1" s="81"/>
      <c r="D1" s="81"/>
      <c r="E1" s="81"/>
      <c r="F1" s="81"/>
      <c r="G1" s="81"/>
      <c r="H1" s="81"/>
      <c r="I1" s="81"/>
      <c r="J1" s="82" t="s">
        <v>21</v>
      </c>
      <c r="K1" s="82"/>
      <c r="L1" s="82"/>
      <c r="M1" s="5">
        <v>1</v>
      </c>
      <c r="N1" s="6" t="s">
        <v>22</v>
      </c>
      <c r="O1" s="7" t="s">
        <v>23</v>
      </c>
      <c r="P1" s="1"/>
    </row>
    <row r="2" spans="1:20" x14ac:dyDescent="0.25">
      <c r="A2" s="8"/>
      <c r="B2" s="9"/>
      <c r="C2" s="9"/>
      <c r="E2" s="9"/>
      <c r="F2" s="9"/>
      <c r="G2" s="9"/>
      <c r="H2" s="9"/>
      <c r="I2" s="9"/>
      <c r="J2" s="82" t="s">
        <v>24</v>
      </c>
      <c r="K2" s="82"/>
      <c r="L2" s="82"/>
      <c r="M2" s="10" t="s">
        <v>25</v>
      </c>
      <c r="N2" s="6" t="s">
        <v>26</v>
      </c>
      <c r="O2" s="7" t="s">
        <v>27</v>
      </c>
    </row>
    <row r="3" spans="1:20" x14ac:dyDescent="0.25">
      <c r="A3" s="8"/>
      <c r="B3" s="9"/>
      <c r="C3" s="9"/>
      <c r="E3" s="9"/>
      <c r="F3" s="9"/>
      <c r="G3" s="9"/>
      <c r="H3" s="9"/>
      <c r="I3" s="9"/>
      <c r="J3" s="8"/>
      <c r="K3" s="11"/>
      <c r="L3" s="8"/>
      <c r="M3" s="9"/>
      <c r="N3" s="8"/>
    </row>
    <row r="4" spans="1:20" s="1" customFormat="1" x14ac:dyDescent="0.25">
      <c r="A4" s="12" t="s">
        <v>28</v>
      </c>
      <c r="C4" s="12"/>
      <c r="E4" s="12"/>
      <c r="F4" s="12"/>
      <c r="G4" s="12"/>
      <c r="H4" s="12"/>
      <c r="I4" s="12"/>
      <c r="J4" s="13"/>
      <c r="K4" s="14"/>
      <c r="L4" s="13"/>
      <c r="M4" s="12" t="s">
        <v>29</v>
      </c>
      <c r="N4" s="13"/>
    </row>
    <row r="5" spans="1:20" s="1" customFormat="1" x14ac:dyDescent="0.2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35</v>
      </c>
      <c r="G5" s="6" t="s">
        <v>36</v>
      </c>
      <c r="H5" s="6" t="s">
        <v>37</v>
      </c>
      <c r="I5" s="6" t="s">
        <v>38</v>
      </c>
      <c r="J5" s="6" t="s">
        <v>33</v>
      </c>
      <c r="K5" s="15" t="s">
        <v>39</v>
      </c>
      <c r="M5" s="16"/>
      <c r="N5" s="17" t="s">
        <v>33</v>
      </c>
      <c r="O5" s="6" t="s">
        <v>40</v>
      </c>
    </row>
    <row r="6" spans="1:20" x14ac:dyDescent="0.25">
      <c r="A6" s="18"/>
      <c r="B6" s="18"/>
      <c r="C6" s="18"/>
      <c r="D6" s="19">
        <f>IF(A6=[1]Tallgrunnlag!$A$3,[1]Tallgrunnlag!$B$3,IF(A6=[1]Tallgrunnlag!$A$4,[1]Tallgrunnlag!$B$4,IF(A6=[1]Tallgrunnlag!$A$5,[1]Tallgrunnlag!$B$5,IF(A6=[1]Tallgrunnlag!$A$6,[1]Tallgrunnlag!$B$6,IF(A6=[1]Tallgrunnlag!$A$7,[1]Tallgrunnlag!$B$7)))))+IF(A6=[1]Tallgrunnlag!$A$8,[1]Tallgrunnlag!$B$8,IF(A6=[1]Tallgrunnlag!$A$9,[1]Tallgrunnlag!$B$9,IF(A6=[1]Tallgrunnlag!$A$10,[1]Tallgrunnlag!$B$10,IF(A6=[1]Tallgrunnlag!$A$11,[1]Tallgrunnlag!$B$11,IF(A6=[1]Tallgrunnlag!$A$12,[1]Tallgrunnlag!$B$12,IF(A6=[1]Tallgrunnlag!$A$13,[1]Tallgrunnlag!$B$13,IF(A6=[1]Tallgrunnlag!$A$14,[1]Tallgrunnlag!$B$14,IF(A6=[1]Tallgrunnlag!$A$15,[1]Tallgrunnlag!$B$15,IF(A6=[1]Tallgrunnlag!$A$16,[1]Tallgrunnlag!$B$16,IF(A6=[1]Tallgrunnlag!$A$17,[1]Tallgrunnlag!$B$17,IF(A6=[1]Tallgrunnlag!$A$18,[1]Tallgrunnlag!$B$18,IF(A6=[1]Tallgrunnlag!$A$19,[1]Tallgrunnlag!$B$19,IF(A6=[1]Tallgrunnlag!$A$20,[1]Tallgrunnlag!$B$20,IF(A6=[1]Tallgrunnlag!$A$21,[1]Tallgrunnlag!$B$21,IF(A6=[1]Tallgrunnlag!$A$22,[1]Tallgrunnlag!$B$22,IF(A6=[1]Tallgrunnlag!$A$23,[1]Tallgrunnlag!$B$23,IF(A6=[1]Tallgrunnlag!$A$24,[1]Tallgrunnlag!$B$24,IF(A6=[1]Tallgrunnlag!$A$25,[1]Tallgrunnlag!$B$25,IF(A6=[1]Tallgrunnlag!$A$26,[1]Tallgrunnlag!$B$26,IF(A6=[1]Tallgrunnlag!$A$27,[1]Tallgrunnlag!$B$27,IF(A6=[1]Tallgrunnlag!$A$28,[1]Tallgrunnlag!$B$28,IF(A6=[1]Tallgrunnlag!$A$29,[1]Tallgrunnlag!$B$29,))))))))))))))))))))))</f>
        <v>0</v>
      </c>
      <c r="E6" s="20" t="b">
        <f>IF(B6=8,IF(A6=[1]Tallgrunnlag!$A$3,[1]Tallgrunnlag!$D$3,IF(A6=[1]Tallgrunnlag!$A$4,[1]Tallgrunnlag!$D$4,IF(A6=[1]Tallgrunnlag!$A$5,[1]Tallgrunnlag!$D$5,IF(A6=[1]Tallgrunnlag!$A$6,[1]Tallgrunnlag!$D$6,IF(A6=[1]Tallgrunnlag!$A$7,[1]Tallgrunnlag!$D$7)))))+IF(A6=[1]Tallgrunnlag!$A$8,[1]Tallgrunnlag!$D$8,IF(A6=[1]Tallgrunnlag!$A$9,[1]Tallgrunnlag!$D$9,IF(A6=[1]Tallgrunnlag!$A$10,[1]Tallgrunnlag!$D$10,IF(A6=[1]Tallgrunnlag!$A$11,[1]Tallgrunnlag!$D$11,IF(A6=[1]Tallgrunnlag!$A$12,[1]Tallgrunnlag!$D$12,IF(A6=[1]Tallgrunnlag!$A$13,[1]Tallgrunnlag!$D$13,IF(A6=[1]Tallgrunnlag!$A$14,[1]Tallgrunnlag!$D$14,IF(A6=[1]Tallgrunnlag!$A$15,[1]Tallgrunnlag!$D$15,IF(A6=[1]Tallgrunnlag!$A$16,[1]Tallgrunnlag!$D$16,IF(A6=[1]Tallgrunnlag!$A$17,[1]Tallgrunnlag!$D$17,IF(A6=[1]Tallgrunnlag!$A$18,[1]Tallgrunnlag!$D$18,IF(A6=[1]Tallgrunnlag!$A$19,[1]Tallgrunnlag!$D$19,IF(A6=[1]Tallgrunnlag!$A$20,[1]Tallgrunnlag!$D$20,IF(A6=[1]Tallgrunnlag!$A$21,[1]Tallgrunnlag!$D$21,IF(A6=[1]Tallgrunnlag!$A$22,[1]Tallgrunnlag!$D$22,IF(A6=[1]Tallgrunnlag!$A$23,[1]Tallgrunnlag!$D$23,IF(A6=[1]Tallgrunnlag!$A$24,[1]Tallgrunnlag!$D$24,IF(A6=[1]Tallgrunnlag!$A$25,[1]Tallgrunnlag!$D$25,IF(A6=[1]Tallgrunnlag!$A$26,[1]Tallgrunnlag!$D$26,IF(A6=[1]Tallgrunnlag!$A$27,[1]Tallgrunnlag!$D$27,IF(A6=[1]Tallgrunnlag!$A$28,[1]Tallgrunnlag!$D$28,IF(A6=[1]Tallgrunnlag!$A$29,[1]Tallgrunnlag!$D$29,)))))))))))))))))))))))</f>
        <v>0</v>
      </c>
      <c r="F6" s="20" t="b">
        <f>IF(B6=9,IF(A6=[1]Tallgrunnlag!$A$3,[1]Tallgrunnlag!$E$3,IF(A6=[1]Tallgrunnlag!$A$4,[1]Tallgrunnlag!$E$4,IF(A6=[1]Tallgrunnlag!$A$5,[1]Tallgrunnlag!$E$5,IF(A6=[1]Tallgrunnlag!$A$6,[1]Tallgrunnlag!$E$6,IF(A6=[1]Tallgrunnlag!$A$7,[1]Tallgrunnlag!$E$7)))))+IF(A6=[1]Tallgrunnlag!$A$8,[1]Tallgrunnlag!$E$8,IF(A6=[1]Tallgrunnlag!$A$9,[1]Tallgrunnlag!$E$9,IF(A6=[1]Tallgrunnlag!$A$10,[1]Tallgrunnlag!$E$10,IF(A6=[1]Tallgrunnlag!$A$11,[1]Tallgrunnlag!$E$11,IF(A6=[1]Tallgrunnlag!$A$12,[1]Tallgrunnlag!$E$12,IF(A6=[1]Tallgrunnlag!$A$13,[1]Tallgrunnlag!$E$13,IF(A6=[1]Tallgrunnlag!$A$14,[1]Tallgrunnlag!$E$14,IF(A6=[1]Tallgrunnlag!$A$15,[1]Tallgrunnlag!$E$15,IF(A6=[1]Tallgrunnlag!$A$16,[1]Tallgrunnlag!$E$16,IF(A6=[1]Tallgrunnlag!$A$17,[1]Tallgrunnlag!$E$17,IF(A6=[1]Tallgrunnlag!$A$18,[1]Tallgrunnlag!$E$18,IF(A6=[1]Tallgrunnlag!$A$19,[1]Tallgrunnlag!$E$19,IF(A6=[1]Tallgrunnlag!$A$20,[1]Tallgrunnlag!$E$20,IF(A6=[1]Tallgrunnlag!$A$21,[1]Tallgrunnlag!$E$21,IF(A6=[1]Tallgrunnlag!$A$22,[1]Tallgrunnlag!$E$22,IF(A6=[1]Tallgrunnlag!$A$23,[1]Tallgrunnlag!$E$23,IF(A6=[1]Tallgrunnlag!$A$24,[1]Tallgrunnlag!$E$24,IF(A6=[1]Tallgrunnlag!$A$25,[1]Tallgrunnlag!$E$25,IF(A6=[1]Tallgrunnlag!$A$26,[1]Tallgrunnlag!$E$26,IF(A6=[1]Tallgrunnlag!$A$27,[1]Tallgrunnlag!$E$27,IF(A6=[1]Tallgrunnlag!$A$28,[1]Tallgrunnlag!$E$28,IF(A6=[1]Tallgrunnlag!$A$29,[1]Tallgrunnlag!$E$29,)))))))))))))))))))))))</f>
        <v>0</v>
      </c>
      <c r="G6" s="20" t="b">
        <f>IF(B6=10,IF(A6=[1]Tallgrunnlag!$A$3,[1]Tallgrunnlag!$F$3,IF(A6=[1]Tallgrunnlag!$A$4,[1]Tallgrunnlag!$F$4,IF(A6=[1]Tallgrunnlag!$A$5,[1]Tallgrunnlag!$F$5,IF(A6=[1]Tallgrunnlag!$A$6,[1]Tallgrunnlag!$F$6,IF(A6=[1]Tallgrunnlag!$A$7,[1]Tallgrunnlag!$F$7)))))+IF(A6=[1]Tallgrunnlag!$A$8,[1]Tallgrunnlag!$F$8,IF(A6=[1]Tallgrunnlag!$A$9,[1]Tallgrunnlag!$F$9,IF(A6=[1]Tallgrunnlag!$A$10,[1]Tallgrunnlag!$F$10,IF(A6=[1]Tallgrunnlag!$A$11,[1]Tallgrunnlag!$F$11,IF(A6=[1]Tallgrunnlag!$A$12,[1]Tallgrunnlag!$F$12,IF(A6=[1]Tallgrunnlag!$A$13,[1]Tallgrunnlag!$F$13,IF(A6=[1]Tallgrunnlag!$A$14,[1]Tallgrunnlag!$F$14,IF(A6=[1]Tallgrunnlag!$A$15,[1]Tallgrunnlag!$F$15,IF(A6=[1]Tallgrunnlag!$A$16,[1]Tallgrunnlag!$F$16,IF(A6=[1]Tallgrunnlag!$A$17,[1]Tallgrunnlag!$F$17,IF(A6=[1]Tallgrunnlag!$A$18,[1]Tallgrunnlag!$F$18,IF(A6=[1]Tallgrunnlag!$A$19,[1]Tallgrunnlag!$F$19,IF(A6=[1]Tallgrunnlag!$A$20,[1]Tallgrunnlag!$F$20,IF(A6=[1]Tallgrunnlag!$A$21,[1]Tallgrunnlag!$F$21,IF(A6=[1]Tallgrunnlag!$A$22,[1]Tallgrunnlag!$F$22,IF(A6=[1]Tallgrunnlag!$A$23,[1]Tallgrunnlag!$F$23,IF(A6=[1]Tallgrunnlag!$A$24,[1]Tallgrunnlag!$F$24,IF(A6=[1]Tallgrunnlag!$A$25,[1]Tallgrunnlag!$F$25,IF(A6=[1]Tallgrunnlag!$A$26,[1]Tallgrunnlag!$F$26,IF(A6=[1]Tallgrunnlag!$A$27,[1]Tallgrunnlag!$F$27,IF(A6=[1]Tallgrunnlag!$A$28,[1]Tallgrunnlag!$F$28,IF(A6=[1]Tallgrunnlag!$A$29,[1]Tallgrunnlag!$F$29,)))))))))))))))))))))))</f>
        <v>0</v>
      </c>
      <c r="H6" s="20" t="str">
        <f>IF(A6=[1]Tallgrunnlag!$A$22,[1]Tallgrunnlag!$C$22/3-E32-E33-E34-E35,"")</f>
        <v/>
      </c>
      <c r="I6" s="20" t="str">
        <f>IF(A6="","",IF(A6=[1]Tallgrunnlag!$A$22,H6,IF(C6=[1]Tallgrunnlag!$B$92,((E6+F6+G6)*5),IF(C6=[1]Tallgrunnlag!$B$93,((E6+F6+G6)*4),E6+F6+G6))))</f>
        <v/>
      </c>
      <c r="J6" s="20" t="str">
        <f t="shared" ref="J6:J20" si="0">IF(A6="","",I6*38)</f>
        <v/>
      </c>
      <c r="K6" s="21" t="str">
        <f>IF(A6="","",IF(A6=[1]Tallgrunnlag!$A$22,J6/D6,J6/D6))</f>
        <v/>
      </c>
      <c r="M6" s="22" t="s">
        <v>41</v>
      </c>
      <c r="N6" s="23">
        <f>[1]Tallgrunnlag!B50*$M$1</f>
        <v>1687.5</v>
      </c>
      <c r="O6" s="23"/>
      <c r="S6" s="24"/>
      <c r="T6" s="25"/>
    </row>
    <row r="7" spans="1:20" x14ac:dyDescent="0.25">
      <c r="A7" s="18"/>
      <c r="B7" s="18"/>
      <c r="C7" s="18"/>
      <c r="D7" s="19">
        <f>IF(A7=[1]Tallgrunnlag!$A$3,[1]Tallgrunnlag!$B$3,IF(A7=[1]Tallgrunnlag!$A$4,[1]Tallgrunnlag!$B$4,IF(A7=[1]Tallgrunnlag!$A$5,[1]Tallgrunnlag!$B$5,IF(A7=[1]Tallgrunnlag!$A$6,[1]Tallgrunnlag!$B$6,IF(A7=[1]Tallgrunnlag!$A$7,[1]Tallgrunnlag!$B$7)))))+IF(A7=[1]Tallgrunnlag!$A$8,[1]Tallgrunnlag!$B$8,IF(A7=[1]Tallgrunnlag!$A$9,[1]Tallgrunnlag!$B$9,IF(A7=[1]Tallgrunnlag!$A$10,[1]Tallgrunnlag!$B$10,IF(A7=[1]Tallgrunnlag!$A$11,[1]Tallgrunnlag!$B$11,IF(A7=[1]Tallgrunnlag!$A$12,[1]Tallgrunnlag!$B$12,IF(A7=[1]Tallgrunnlag!$A$13,[1]Tallgrunnlag!$B$13,IF(A7=[1]Tallgrunnlag!$A$14,[1]Tallgrunnlag!$B$14,IF(A7=[1]Tallgrunnlag!$A$15,[1]Tallgrunnlag!$B$15,IF(A7=[1]Tallgrunnlag!$A$16,[1]Tallgrunnlag!$B$16,IF(A7=[1]Tallgrunnlag!$A$17,[1]Tallgrunnlag!$B$17,IF(A7=[1]Tallgrunnlag!$A$18,[1]Tallgrunnlag!$B$18,IF(A7=[1]Tallgrunnlag!$A$19,[1]Tallgrunnlag!$B$19,IF(A7=[1]Tallgrunnlag!$A$20,[1]Tallgrunnlag!$B$20,IF(A7=[1]Tallgrunnlag!$A$21,[1]Tallgrunnlag!$B$21,IF(A7=[1]Tallgrunnlag!$A$22,[1]Tallgrunnlag!$B$22,IF(A7=[1]Tallgrunnlag!$A$23,[1]Tallgrunnlag!$B$23,IF(A7=[1]Tallgrunnlag!$A$24,[1]Tallgrunnlag!$B$24,IF(A7=[1]Tallgrunnlag!$A$25,[1]Tallgrunnlag!$B$25,IF(A7=[1]Tallgrunnlag!$A$26,[1]Tallgrunnlag!$B$26,IF(A7=[1]Tallgrunnlag!$A$27,[1]Tallgrunnlag!$B$27,IF(A7=[1]Tallgrunnlag!$A$28,[1]Tallgrunnlag!$B$28,IF(A7=[1]Tallgrunnlag!$A$29,[1]Tallgrunnlag!$B$29,))))))))))))))))))))))</f>
        <v>0</v>
      </c>
      <c r="E7" s="20" t="b">
        <f>IF(B7=8,IF(A7=[1]Tallgrunnlag!$A$3,[1]Tallgrunnlag!$D$3,IF(A7=[1]Tallgrunnlag!$A$4,[1]Tallgrunnlag!$D$4,IF(A7=[1]Tallgrunnlag!$A$5,[1]Tallgrunnlag!$D$5,IF(A7=[1]Tallgrunnlag!$A$6,[1]Tallgrunnlag!$D$6,IF(A7=[1]Tallgrunnlag!$A$7,[1]Tallgrunnlag!$D$7)))))+IF(A7=[1]Tallgrunnlag!$A$8,[1]Tallgrunnlag!$D$8,IF(A7=[1]Tallgrunnlag!$A$9,[1]Tallgrunnlag!$D$9,IF(A7=[1]Tallgrunnlag!$A$10,[1]Tallgrunnlag!$D$10,IF(A7=[1]Tallgrunnlag!$A$11,[1]Tallgrunnlag!$D$11,IF(A7=[1]Tallgrunnlag!$A$12,[1]Tallgrunnlag!$D$12,IF(A7=[1]Tallgrunnlag!$A$13,[1]Tallgrunnlag!$D$13,IF(A7=[1]Tallgrunnlag!$A$14,[1]Tallgrunnlag!$D$14,IF(A7=[1]Tallgrunnlag!$A$15,[1]Tallgrunnlag!$D$15,IF(A7=[1]Tallgrunnlag!$A$16,[1]Tallgrunnlag!$D$16,IF(A7=[1]Tallgrunnlag!$A$17,[1]Tallgrunnlag!$D$17,IF(A7=[1]Tallgrunnlag!$A$18,[1]Tallgrunnlag!$D$18,IF(A7=[1]Tallgrunnlag!$A$19,[1]Tallgrunnlag!$D$19,IF(A7=[1]Tallgrunnlag!$A$20,[1]Tallgrunnlag!$D$20,IF(A7=[1]Tallgrunnlag!$A$21,[1]Tallgrunnlag!$D$21,IF(A7=[1]Tallgrunnlag!$A$22,[1]Tallgrunnlag!$D$22,IF(A7=[1]Tallgrunnlag!$A$23,[1]Tallgrunnlag!$D$23,IF(A7=[1]Tallgrunnlag!$A$24,[1]Tallgrunnlag!$D$24,IF(A7=[1]Tallgrunnlag!$A$25,[1]Tallgrunnlag!$D$25,IF(A7=[1]Tallgrunnlag!$A$26,[1]Tallgrunnlag!$D$26,IF(A7=[1]Tallgrunnlag!$A$27,[1]Tallgrunnlag!$D$27,IF(A7=[1]Tallgrunnlag!$A$28,[1]Tallgrunnlag!$D$28,IF(A7=[1]Tallgrunnlag!$A$29,[1]Tallgrunnlag!$D$29,)))))))))))))))))))))))</f>
        <v>0</v>
      </c>
      <c r="F7" s="20" t="b">
        <f>IF(B7=9,IF(A7=[1]Tallgrunnlag!$A$3,[1]Tallgrunnlag!$E$3,IF(A7=[1]Tallgrunnlag!$A$4,[1]Tallgrunnlag!$E$4,IF(A7=[1]Tallgrunnlag!$A$5,[1]Tallgrunnlag!$E$5,IF(A7=[1]Tallgrunnlag!$A$6,[1]Tallgrunnlag!$E$6,IF(A7=[1]Tallgrunnlag!$A$7,[1]Tallgrunnlag!$E$7)))))+IF(A7=[1]Tallgrunnlag!$A$8,[1]Tallgrunnlag!$E$8,IF(A7=[1]Tallgrunnlag!$A$9,[1]Tallgrunnlag!$E$9,IF(A7=[1]Tallgrunnlag!$A$10,[1]Tallgrunnlag!$E$10,IF(A7=[1]Tallgrunnlag!$A$11,[1]Tallgrunnlag!$E$11,IF(A7=[1]Tallgrunnlag!$A$12,[1]Tallgrunnlag!$E$12,IF(A7=[1]Tallgrunnlag!$A$13,[1]Tallgrunnlag!$E$13,IF(A7=[1]Tallgrunnlag!$A$14,[1]Tallgrunnlag!$E$14,IF(A7=[1]Tallgrunnlag!$A$15,[1]Tallgrunnlag!$E$15,IF(A7=[1]Tallgrunnlag!$A$16,[1]Tallgrunnlag!$E$16,IF(A7=[1]Tallgrunnlag!$A$17,[1]Tallgrunnlag!$E$17,IF(A7=[1]Tallgrunnlag!$A$18,[1]Tallgrunnlag!$E$18,IF(A7=[1]Tallgrunnlag!$A$19,[1]Tallgrunnlag!$E$19,IF(A7=[1]Tallgrunnlag!$A$20,[1]Tallgrunnlag!$E$20,IF(A7=[1]Tallgrunnlag!$A$21,[1]Tallgrunnlag!$E$21,IF(A7=[1]Tallgrunnlag!$A$22,[1]Tallgrunnlag!$E$22,IF(A7=[1]Tallgrunnlag!$A$23,[1]Tallgrunnlag!$E$23,IF(A7=[1]Tallgrunnlag!$A$24,[1]Tallgrunnlag!$E$24,IF(A7=[1]Tallgrunnlag!$A$25,[1]Tallgrunnlag!$E$25,IF(A7=[1]Tallgrunnlag!$A$26,[1]Tallgrunnlag!$E$26,IF(A7=[1]Tallgrunnlag!$A$27,[1]Tallgrunnlag!$E$27,IF(A7=[1]Tallgrunnlag!$A$28,[1]Tallgrunnlag!$E$28,IF(A7=[1]Tallgrunnlag!$A$29,[1]Tallgrunnlag!$E$29,)))))))))))))))))))))))</f>
        <v>0</v>
      </c>
      <c r="G7" s="20" t="b">
        <f>IF(B7=10,IF(A7=[1]Tallgrunnlag!$A$3,[1]Tallgrunnlag!$F$3,IF(A7=[1]Tallgrunnlag!$A$4,[1]Tallgrunnlag!$F$4,IF(A7=[1]Tallgrunnlag!$A$5,[1]Tallgrunnlag!$F$5,IF(A7=[1]Tallgrunnlag!$A$6,[1]Tallgrunnlag!$F$6,IF(A7=[1]Tallgrunnlag!$A$7,[1]Tallgrunnlag!$F$7)))))+IF(A7=[1]Tallgrunnlag!$A$8,[1]Tallgrunnlag!$F$8,IF(A7=[1]Tallgrunnlag!$A$9,[1]Tallgrunnlag!$F$9,IF(A7=[1]Tallgrunnlag!$A$10,[1]Tallgrunnlag!$F$10,IF(A7=[1]Tallgrunnlag!$A$11,[1]Tallgrunnlag!$F$11,IF(A7=[1]Tallgrunnlag!$A$12,[1]Tallgrunnlag!$F$12,IF(A7=[1]Tallgrunnlag!$A$13,[1]Tallgrunnlag!$F$13,IF(A7=[1]Tallgrunnlag!$A$14,[1]Tallgrunnlag!$F$14,IF(A7=[1]Tallgrunnlag!$A$15,[1]Tallgrunnlag!$F$15,IF(A7=[1]Tallgrunnlag!$A$16,[1]Tallgrunnlag!$F$16,IF(A7=[1]Tallgrunnlag!$A$17,[1]Tallgrunnlag!$F$17,IF(A7=[1]Tallgrunnlag!$A$18,[1]Tallgrunnlag!$F$18,IF(A7=[1]Tallgrunnlag!$A$19,[1]Tallgrunnlag!$F$19,IF(A7=[1]Tallgrunnlag!$A$20,[1]Tallgrunnlag!$F$20,IF(A7=[1]Tallgrunnlag!$A$21,[1]Tallgrunnlag!$F$21,IF(A7=[1]Tallgrunnlag!$A$22,[1]Tallgrunnlag!$F$22,IF(A7=[1]Tallgrunnlag!$A$23,[1]Tallgrunnlag!$F$23,IF(A7=[1]Tallgrunnlag!$A$24,[1]Tallgrunnlag!$F$24,IF(A7=[1]Tallgrunnlag!$A$25,[1]Tallgrunnlag!$F$25,IF(A7=[1]Tallgrunnlag!$A$26,[1]Tallgrunnlag!$F$26,IF(A7=[1]Tallgrunnlag!$A$27,[1]Tallgrunnlag!$F$27,IF(A7=[1]Tallgrunnlag!$A$28,[1]Tallgrunnlag!$F$28,IF(A7=[1]Tallgrunnlag!$A$29,[1]Tallgrunnlag!$F$29,)))))))))))))))))))))))</f>
        <v>0</v>
      </c>
      <c r="H7" s="20" t="str">
        <f>IF(A7=[1]Tallgrunnlag!$A$22,[1]Tallgrunnlag!$C$22/3-E33-E34-E35-E36,"")</f>
        <v/>
      </c>
      <c r="I7" s="20" t="str">
        <f>IF(A7="","",IF(A7=[1]Tallgrunnlag!$A$22,H7,IF(C7=[1]Tallgrunnlag!$B$92,((E7+F7+G7)*5),IF(C7=[1]Tallgrunnlag!$B$93,((E7+F7+G7)*4),E7+F7+G7))))</f>
        <v/>
      </c>
      <c r="J7" s="20" t="str">
        <f t="shared" si="0"/>
        <v/>
      </c>
      <c r="K7" s="21" t="str">
        <f>IF(A7="","",IF(A7=[1]Tallgrunnlag!$A$22,J7/D7,J7/D7))</f>
        <v/>
      </c>
      <c r="M7" s="26" t="s">
        <v>42</v>
      </c>
      <c r="N7" s="27">
        <f>[1]Tallgrunnlag!B51*$M$1</f>
        <v>37.5</v>
      </c>
      <c r="O7" s="27"/>
      <c r="Q7" s="24"/>
    </row>
    <row r="8" spans="1:20" x14ac:dyDescent="0.25">
      <c r="A8" s="18"/>
      <c r="B8" s="18"/>
      <c r="C8" s="18"/>
      <c r="D8" s="19">
        <f>IF(A8=[1]Tallgrunnlag!$A$3,[1]Tallgrunnlag!$B$3,IF(A8=[1]Tallgrunnlag!$A$4,[1]Tallgrunnlag!$B$4,IF(A8=[1]Tallgrunnlag!$A$5,[1]Tallgrunnlag!$B$5,IF(A8=[1]Tallgrunnlag!$A$6,[1]Tallgrunnlag!$B$6,IF(A8=[1]Tallgrunnlag!$A$7,[1]Tallgrunnlag!$B$7)))))+IF(A8=[1]Tallgrunnlag!$A$8,[1]Tallgrunnlag!$B$8,IF(A8=[1]Tallgrunnlag!$A$9,[1]Tallgrunnlag!$B$9,IF(A8=[1]Tallgrunnlag!$A$10,[1]Tallgrunnlag!$B$10,IF(A8=[1]Tallgrunnlag!$A$11,[1]Tallgrunnlag!$B$11,IF(A8=[1]Tallgrunnlag!$A$12,[1]Tallgrunnlag!$B$12,IF(A8=[1]Tallgrunnlag!$A$13,[1]Tallgrunnlag!$B$13,IF(A8=[1]Tallgrunnlag!$A$14,[1]Tallgrunnlag!$B$14,IF(A8=[1]Tallgrunnlag!$A$15,[1]Tallgrunnlag!$B$15,IF(A8=[1]Tallgrunnlag!$A$16,[1]Tallgrunnlag!$B$16,IF(A8=[1]Tallgrunnlag!$A$17,[1]Tallgrunnlag!$B$17,IF(A8=[1]Tallgrunnlag!$A$18,[1]Tallgrunnlag!$B$18,IF(A8=[1]Tallgrunnlag!$A$19,[1]Tallgrunnlag!$B$19,IF(A8=[1]Tallgrunnlag!$A$20,[1]Tallgrunnlag!$B$20,IF(A8=[1]Tallgrunnlag!$A$21,[1]Tallgrunnlag!$B$21,IF(A8=[1]Tallgrunnlag!$A$22,[1]Tallgrunnlag!$B$22,IF(A8=[1]Tallgrunnlag!$A$23,[1]Tallgrunnlag!$B$23,IF(A8=[1]Tallgrunnlag!$A$24,[1]Tallgrunnlag!$B$24,IF(A8=[1]Tallgrunnlag!$A$25,[1]Tallgrunnlag!$B$25,IF(A8=[1]Tallgrunnlag!$A$26,[1]Tallgrunnlag!$B$26,IF(A8=[1]Tallgrunnlag!$A$27,[1]Tallgrunnlag!$B$27,IF(A8=[1]Tallgrunnlag!$A$28,[1]Tallgrunnlag!$B$28,IF(A8=[1]Tallgrunnlag!$A$29,[1]Tallgrunnlag!$B$29,))))))))))))))))))))))</f>
        <v>0</v>
      </c>
      <c r="E8" s="20" t="b">
        <f>IF(B8=8,IF(A8=[1]Tallgrunnlag!$A$3,[1]Tallgrunnlag!$D$3,IF(A8=[1]Tallgrunnlag!$A$4,[1]Tallgrunnlag!$D$4,IF(A8=[1]Tallgrunnlag!$A$5,[1]Tallgrunnlag!$D$5,IF(A8=[1]Tallgrunnlag!$A$6,[1]Tallgrunnlag!$D$6,IF(A8=[1]Tallgrunnlag!$A$7,[1]Tallgrunnlag!$D$7)))))+IF(A8=[1]Tallgrunnlag!$A$8,[1]Tallgrunnlag!$D$8,IF(A8=[1]Tallgrunnlag!$A$9,[1]Tallgrunnlag!$D$9,IF(A8=[1]Tallgrunnlag!$A$10,[1]Tallgrunnlag!$D$10,IF(A8=[1]Tallgrunnlag!$A$11,[1]Tallgrunnlag!$D$11,IF(A8=[1]Tallgrunnlag!$A$12,[1]Tallgrunnlag!$D$12,IF(A8=[1]Tallgrunnlag!$A$13,[1]Tallgrunnlag!$D$13,IF(A8=[1]Tallgrunnlag!$A$14,[1]Tallgrunnlag!$D$14,IF(A8=[1]Tallgrunnlag!$A$15,[1]Tallgrunnlag!$D$15,IF(A8=[1]Tallgrunnlag!$A$16,[1]Tallgrunnlag!$D$16,IF(A8=[1]Tallgrunnlag!$A$17,[1]Tallgrunnlag!$D$17,IF(A8=[1]Tallgrunnlag!$A$18,[1]Tallgrunnlag!$D$18,IF(A8=[1]Tallgrunnlag!$A$19,[1]Tallgrunnlag!$D$19,IF(A8=[1]Tallgrunnlag!$A$20,[1]Tallgrunnlag!$D$20,IF(A8=[1]Tallgrunnlag!$A$21,[1]Tallgrunnlag!$D$21,IF(A8=[1]Tallgrunnlag!$A$22,[1]Tallgrunnlag!$D$22,IF(A8=[1]Tallgrunnlag!$A$23,[1]Tallgrunnlag!$D$23,IF(A8=[1]Tallgrunnlag!$A$24,[1]Tallgrunnlag!$D$24,IF(A8=[1]Tallgrunnlag!$A$25,[1]Tallgrunnlag!$D$25,IF(A8=[1]Tallgrunnlag!$A$26,[1]Tallgrunnlag!$D$26,IF(A8=[1]Tallgrunnlag!$A$27,[1]Tallgrunnlag!$D$27,IF(A8=[1]Tallgrunnlag!$A$28,[1]Tallgrunnlag!$D$28,IF(A8=[1]Tallgrunnlag!$A$29,[1]Tallgrunnlag!$D$29,)))))))))))))))))))))))</f>
        <v>0</v>
      </c>
      <c r="F8" s="20" t="b">
        <f>IF(B8=9,IF(A8=[1]Tallgrunnlag!$A$3,[1]Tallgrunnlag!$E$3,IF(A8=[1]Tallgrunnlag!$A$4,[1]Tallgrunnlag!$E$4,IF(A8=[1]Tallgrunnlag!$A$5,[1]Tallgrunnlag!$E$5,IF(A8=[1]Tallgrunnlag!$A$6,[1]Tallgrunnlag!$E$6,IF(A8=[1]Tallgrunnlag!$A$7,[1]Tallgrunnlag!$E$7)))))+IF(A8=[1]Tallgrunnlag!$A$8,[1]Tallgrunnlag!$E$8,IF(A8=[1]Tallgrunnlag!$A$9,[1]Tallgrunnlag!$E$9,IF(A8=[1]Tallgrunnlag!$A$10,[1]Tallgrunnlag!$E$10,IF(A8=[1]Tallgrunnlag!$A$11,[1]Tallgrunnlag!$E$11,IF(A8=[1]Tallgrunnlag!$A$12,[1]Tallgrunnlag!$E$12,IF(A8=[1]Tallgrunnlag!$A$13,[1]Tallgrunnlag!$E$13,IF(A8=[1]Tallgrunnlag!$A$14,[1]Tallgrunnlag!$E$14,IF(A8=[1]Tallgrunnlag!$A$15,[1]Tallgrunnlag!$E$15,IF(A8=[1]Tallgrunnlag!$A$16,[1]Tallgrunnlag!$E$16,IF(A8=[1]Tallgrunnlag!$A$17,[1]Tallgrunnlag!$E$17,IF(A8=[1]Tallgrunnlag!$A$18,[1]Tallgrunnlag!$E$18,IF(A8=[1]Tallgrunnlag!$A$19,[1]Tallgrunnlag!$E$19,IF(A8=[1]Tallgrunnlag!$A$20,[1]Tallgrunnlag!$E$20,IF(A8=[1]Tallgrunnlag!$A$21,[1]Tallgrunnlag!$E$21,IF(A8=[1]Tallgrunnlag!$A$22,[1]Tallgrunnlag!$E$22,IF(A8=[1]Tallgrunnlag!$A$23,[1]Tallgrunnlag!$E$23,IF(A8=[1]Tallgrunnlag!$A$24,[1]Tallgrunnlag!$E$24,IF(A8=[1]Tallgrunnlag!$A$25,[1]Tallgrunnlag!$E$25,IF(A8=[1]Tallgrunnlag!$A$26,[1]Tallgrunnlag!$E$26,IF(A8=[1]Tallgrunnlag!$A$27,[1]Tallgrunnlag!$E$27,IF(A8=[1]Tallgrunnlag!$A$28,[1]Tallgrunnlag!$E$28,IF(A8=[1]Tallgrunnlag!$A$29,[1]Tallgrunnlag!$E$29,)))))))))))))))))))))))</f>
        <v>0</v>
      </c>
      <c r="G8" s="20" t="b">
        <f>IF(B8=10,IF(A8=[1]Tallgrunnlag!$A$3,[1]Tallgrunnlag!$F$3,IF(A8=[1]Tallgrunnlag!$A$4,[1]Tallgrunnlag!$F$4,IF(A8=[1]Tallgrunnlag!$A$5,[1]Tallgrunnlag!$F$5,IF(A8=[1]Tallgrunnlag!$A$6,[1]Tallgrunnlag!$F$6,IF(A8=[1]Tallgrunnlag!$A$7,[1]Tallgrunnlag!$F$7)))))+IF(A8=[1]Tallgrunnlag!$A$8,[1]Tallgrunnlag!$F$8,IF(A8=[1]Tallgrunnlag!$A$9,[1]Tallgrunnlag!$F$9,IF(A8=[1]Tallgrunnlag!$A$10,[1]Tallgrunnlag!$F$10,IF(A8=[1]Tallgrunnlag!$A$11,[1]Tallgrunnlag!$F$11,IF(A8=[1]Tallgrunnlag!$A$12,[1]Tallgrunnlag!$F$12,IF(A8=[1]Tallgrunnlag!$A$13,[1]Tallgrunnlag!$F$13,IF(A8=[1]Tallgrunnlag!$A$14,[1]Tallgrunnlag!$F$14,IF(A8=[1]Tallgrunnlag!$A$15,[1]Tallgrunnlag!$F$15,IF(A8=[1]Tallgrunnlag!$A$16,[1]Tallgrunnlag!$F$16,IF(A8=[1]Tallgrunnlag!$A$17,[1]Tallgrunnlag!$F$17,IF(A8=[1]Tallgrunnlag!$A$18,[1]Tallgrunnlag!$F$18,IF(A8=[1]Tallgrunnlag!$A$19,[1]Tallgrunnlag!$F$19,IF(A8=[1]Tallgrunnlag!$A$20,[1]Tallgrunnlag!$F$20,IF(A8=[1]Tallgrunnlag!$A$21,[1]Tallgrunnlag!$F$21,IF(A8=[1]Tallgrunnlag!$A$22,[1]Tallgrunnlag!$F$22,IF(A8=[1]Tallgrunnlag!$A$23,[1]Tallgrunnlag!$F$23,IF(A8=[1]Tallgrunnlag!$A$24,[1]Tallgrunnlag!$F$24,IF(A8=[1]Tallgrunnlag!$A$25,[1]Tallgrunnlag!$F$25,IF(A8=[1]Tallgrunnlag!$A$26,[1]Tallgrunnlag!$F$26,IF(A8=[1]Tallgrunnlag!$A$27,[1]Tallgrunnlag!$F$27,IF(A8=[1]Tallgrunnlag!$A$28,[1]Tallgrunnlag!$F$28,IF(A8=[1]Tallgrunnlag!$A$29,[1]Tallgrunnlag!$F$29,)))))))))))))))))))))))</f>
        <v>0</v>
      </c>
      <c r="H8" s="20" t="str">
        <f>IF(A8=[1]Tallgrunnlag!$A$22,[1]Tallgrunnlag!$C$22/3-E34-E35-E36-E37,"")</f>
        <v/>
      </c>
      <c r="I8" s="20" t="str">
        <f>IF(A8="","",IF(A8=[1]Tallgrunnlag!$A$22,H8,IF(C8=[1]Tallgrunnlag!$B$92,((E8+F8+G8)*5),IF(C8=[1]Tallgrunnlag!$B$93,((E8+F8+G8)*4),E8+F8+G8))))</f>
        <v/>
      </c>
      <c r="J8" s="20" t="str">
        <f t="shared" si="0"/>
        <v/>
      </c>
      <c r="K8" s="21" t="str">
        <f>IF(A8="","",IF(A8=[1]Tallgrunnlag!$A$22,J8/D8,J8/D8))</f>
        <v/>
      </c>
      <c r="M8" s="26" t="s">
        <v>43</v>
      </c>
      <c r="N8" s="28">
        <f>[1]Tallgrunnlag!B52*$M$1</f>
        <v>1650</v>
      </c>
      <c r="O8" s="28">
        <f t="shared" ref="O8:O34" si="1">N8/38</f>
        <v>43.421052631578945</v>
      </c>
    </row>
    <row r="9" spans="1:20" x14ac:dyDescent="0.25">
      <c r="A9" s="18"/>
      <c r="B9" s="18"/>
      <c r="C9" s="18"/>
      <c r="D9" s="19">
        <f>IF(A9=[1]Tallgrunnlag!$A$3,[1]Tallgrunnlag!$B$3,IF(A9=[1]Tallgrunnlag!$A$4,[1]Tallgrunnlag!$B$4,IF(A9=[1]Tallgrunnlag!$A$5,[1]Tallgrunnlag!$B$5,IF(A9=[1]Tallgrunnlag!$A$6,[1]Tallgrunnlag!$B$6,IF(A9=[1]Tallgrunnlag!$A$7,[1]Tallgrunnlag!$B$7)))))+IF(A9=[1]Tallgrunnlag!$A$8,[1]Tallgrunnlag!$B$8,IF(A9=[1]Tallgrunnlag!$A$9,[1]Tallgrunnlag!$B$9,IF(A9=[1]Tallgrunnlag!$A$10,[1]Tallgrunnlag!$B$10,IF(A9=[1]Tallgrunnlag!$A$11,[1]Tallgrunnlag!$B$11,IF(A9=[1]Tallgrunnlag!$A$12,[1]Tallgrunnlag!$B$12,IF(A9=[1]Tallgrunnlag!$A$13,[1]Tallgrunnlag!$B$13,IF(A9=[1]Tallgrunnlag!$A$14,[1]Tallgrunnlag!$B$14,IF(A9=[1]Tallgrunnlag!$A$15,[1]Tallgrunnlag!$B$15,IF(A9=[1]Tallgrunnlag!$A$16,[1]Tallgrunnlag!$B$16,IF(A9=[1]Tallgrunnlag!$A$17,[1]Tallgrunnlag!$B$17,IF(A9=[1]Tallgrunnlag!$A$18,[1]Tallgrunnlag!$B$18,IF(A9=[1]Tallgrunnlag!$A$19,[1]Tallgrunnlag!$B$19,IF(A9=[1]Tallgrunnlag!$A$20,[1]Tallgrunnlag!$B$20,IF(A9=[1]Tallgrunnlag!$A$21,[1]Tallgrunnlag!$B$21,IF(A9=[1]Tallgrunnlag!$A$22,[1]Tallgrunnlag!$B$22,IF(A9=[1]Tallgrunnlag!$A$23,[1]Tallgrunnlag!$B$23,IF(A9=[1]Tallgrunnlag!$A$24,[1]Tallgrunnlag!$B$24,IF(A9=[1]Tallgrunnlag!$A$25,[1]Tallgrunnlag!$B$25,IF(A9=[1]Tallgrunnlag!$A$26,[1]Tallgrunnlag!$B$26,IF(A9=[1]Tallgrunnlag!$A$27,[1]Tallgrunnlag!$B$27,IF(A9=[1]Tallgrunnlag!$A$28,[1]Tallgrunnlag!$B$28,IF(A9=[1]Tallgrunnlag!$A$29,[1]Tallgrunnlag!$B$29,))))))))))))))))))))))</f>
        <v>0</v>
      </c>
      <c r="E9" s="20" t="b">
        <f>IF(B9=8,IF(A9=[1]Tallgrunnlag!$A$3,[1]Tallgrunnlag!$D$3,IF(A9=[1]Tallgrunnlag!$A$4,[1]Tallgrunnlag!$D$4,IF(A9=[1]Tallgrunnlag!$A$5,[1]Tallgrunnlag!$D$5,IF(A9=[1]Tallgrunnlag!$A$6,[1]Tallgrunnlag!$D$6,IF(A9=[1]Tallgrunnlag!$A$7,[1]Tallgrunnlag!$D$7)))))+IF(A9=[1]Tallgrunnlag!$A$8,[1]Tallgrunnlag!$D$8,IF(A9=[1]Tallgrunnlag!$A$9,[1]Tallgrunnlag!$D$9,IF(A9=[1]Tallgrunnlag!$A$10,[1]Tallgrunnlag!$D$10,IF(A9=[1]Tallgrunnlag!$A$11,[1]Tallgrunnlag!$D$11,IF(A9=[1]Tallgrunnlag!$A$12,[1]Tallgrunnlag!$D$12,IF(A9=[1]Tallgrunnlag!$A$13,[1]Tallgrunnlag!$D$13,IF(A9=[1]Tallgrunnlag!$A$14,[1]Tallgrunnlag!$D$14,IF(A9=[1]Tallgrunnlag!$A$15,[1]Tallgrunnlag!$D$15,IF(A9=[1]Tallgrunnlag!$A$16,[1]Tallgrunnlag!$D$16,IF(A9=[1]Tallgrunnlag!$A$17,[1]Tallgrunnlag!$D$17,IF(A9=[1]Tallgrunnlag!$A$18,[1]Tallgrunnlag!$D$18,IF(A9=[1]Tallgrunnlag!$A$19,[1]Tallgrunnlag!$D$19,IF(A9=[1]Tallgrunnlag!$A$20,[1]Tallgrunnlag!$D$20,IF(A9=[1]Tallgrunnlag!$A$21,[1]Tallgrunnlag!$D$21,IF(A9=[1]Tallgrunnlag!$A$22,[1]Tallgrunnlag!$D$22,IF(A9=[1]Tallgrunnlag!$A$23,[1]Tallgrunnlag!$D$23,IF(A9=[1]Tallgrunnlag!$A$24,[1]Tallgrunnlag!$D$24,IF(A9=[1]Tallgrunnlag!$A$25,[1]Tallgrunnlag!$D$25,IF(A9=[1]Tallgrunnlag!$A$26,[1]Tallgrunnlag!$D$26,IF(A9=[1]Tallgrunnlag!$A$27,[1]Tallgrunnlag!$D$27,IF(A9=[1]Tallgrunnlag!$A$28,[1]Tallgrunnlag!$D$28,IF(A9=[1]Tallgrunnlag!$A$29,[1]Tallgrunnlag!$D$29,)))))))))))))))))))))))</f>
        <v>0</v>
      </c>
      <c r="F9" s="20" t="b">
        <f>IF(B9=9,IF(A9=[1]Tallgrunnlag!$A$3,[1]Tallgrunnlag!$E$3,IF(A9=[1]Tallgrunnlag!$A$4,[1]Tallgrunnlag!$E$4,IF(A9=[1]Tallgrunnlag!$A$5,[1]Tallgrunnlag!$E$5,IF(A9=[1]Tallgrunnlag!$A$6,[1]Tallgrunnlag!$E$6,IF(A9=[1]Tallgrunnlag!$A$7,[1]Tallgrunnlag!$E$7)))))+IF(A9=[1]Tallgrunnlag!$A$8,[1]Tallgrunnlag!$E$8,IF(A9=[1]Tallgrunnlag!$A$9,[1]Tallgrunnlag!$E$9,IF(A9=[1]Tallgrunnlag!$A$10,[1]Tallgrunnlag!$E$10,IF(A9=[1]Tallgrunnlag!$A$11,[1]Tallgrunnlag!$E$11,IF(A9=[1]Tallgrunnlag!$A$12,[1]Tallgrunnlag!$E$12,IF(A9=[1]Tallgrunnlag!$A$13,[1]Tallgrunnlag!$E$13,IF(A9=[1]Tallgrunnlag!$A$14,[1]Tallgrunnlag!$E$14,IF(A9=[1]Tallgrunnlag!$A$15,[1]Tallgrunnlag!$E$15,IF(A9=[1]Tallgrunnlag!$A$16,[1]Tallgrunnlag!$E$16,IF(A9=[1]Tallgrunnlag!$A$17,[1]Tallgrunnlag!$E$17,IF(A9=[1]Tallgrunnlag!$A$18,[1]Tallgrunnlag!$E$18,IF(A9=[1]Tallgrunnlag!$A$19,[1]Tallgrunnlag!$E$19,IF(A9=[1]Tallgrunnlag!$A$20,[1]Tallgrunnlag!$E$20,IF(A9=[1]Tallgrunnlag!$A$21,[1]Tallgrunnlag!$E$21,IF(A9=[1]Tallgrunnlag!$A$22,[1]Tallgrunnlag!$E$22,IF(A9=[1]Tallgrunnlag!$A$23,[1]Tallgrunnlag!$E$23,IF(A9=[1]Tallgrunnlag!$A$24,[1]Tallgrunnlag!$E$24,IF(A9=[1]Tallgrunnlag!$A$25,[1]Tallgrunnlag!$E$25,IF(A9=[1]Tallgrunnlag!$A$26,[1]Tallgrunnlag!$E$26,IF(A9=[1]Tallgrunnlag!$A$27,[1]Tallgrunnlag!$E$27,IF(A9=[1]Tallgrunnlag!$A$28,[1]Tallgrunnlag!$E$28,IF(A9=[1]Tallgrunnlag!$A$29,[1]Tallgrunnlag!$E$29,)))))))))))))))))))))))</f>
        <v>0</v>
      </c>
      <c r="G9" s="20" t="b">
        <f>IF(B9=10,IF(A9=[1]Tallgrunnlag!$A$3,[1]Tallgrunnlag!$F$3,IF(A9=[1]Tallgrunnlag!$A$4,[1]Tallgrunnlag!$F$4,IF(A9=[1]Tallgrunnlag!$A$5,[1]Tallgrunnlag!$F$5,IF(A9=[1]Tallgrunnlag!$A$6,[1]Tallgrunnlag!$F$6,IF(A9=[1]Tallgrunnlag!$A$7,[1]Tallgrunnlag!$F$7)))))+IF(A9=[1]Tallgrunnlag!$A$8,[1]Tallgrunnlag!$F$8,IF(A9=[1]Tallgrunnlag!$A$9,[1]Tallgrunnlag!$F$9,IF(A9=[1]Tallgrunnlag!$A$10,[1]Tallgrunnlag!$F$10,IF(A9=[1]Tallgrunnlag!$A$11,[1]Tallgrunnlag!$F$11,IF(A9=[1]Tallgrunnlag!$A$12,[1]Tallgrunnlag!$F$12,IF(A9=[1]Tallgrunnlag!$A$13,[1]Tallgrunnlag!$F$13,IF(A9=[1]Tallgrunnlag!$A$14,[1]Tallgrunnlag!$F$14,IF(A9=[1]Tallgrunnlag!$A$15,[1]Tallgrunnlag!$F$15,IF(A9=[1]Tallgrunnlag!$A$16,[1]Tallgrunnlag!$F$16,IF(A9=[1]Tallgrunnlag!$A$17,[1]Tallgrunnlag!$F$17,IF(A9=[1]Tallgrunnlag!$A$18,[1]Tallgrunnlag!$F$18,IF(A9=[1]Tallgrunnlag!$A$19,[1]Tallgrunnlag!$F$19,IF(A9=[1]Tallgrunnlag!$A$20,[1]Tallgrunnlag!$F$20,IF(A9=[1]Tallgrunnlag!$A$21,[1]Tallgrunnlag!$F$21,IF(A9=[1]Tallgrunnlag!$A$22,[1]Tallgrunnlag!$F$22,IF(A9=[1]Tallgrunnlag!$A$23,[1]Tallgrunnlag!$F$23,IF(A9=[1]Tallgrunnlag!$A$24,[1]Tallgrunnlag!$F$24,IF(A9=[1]Tallgrunnlag!$A$25,[1]Tallgrunnlag!$F$25,IF(A9=[1]Tallgrunnlag!$A$26,[1]Tallgrunnlag!$F$26,IF(A9=[1]Tallgrunnlag!$A$27,[1]Tallgrunnlag!$F$27,IF(A9=[1]Tallgrunnlag!$A$28,[1]Tallgrunnlag!$F$28,IF(A9=[1]Tallgrunnlag!$A$29,[1]Tallgrunnlag!$F$29,)))))))))))))))))))))))</f>
        <v>0</v>
      </c>
      <c r="H9" s="20" t="str">
        <f>IF(A9=[1]Tallgrunnlag!$A$22,[1]Tallgrunnlag!$C$22/3-E35-E36-E37-E38,"")</f>
        <v/>
      </c>
      <c r="I9" s="20" t="str">
        <f>IF(A9="","",IF(A9=[1]Tallgrunnlag!$A$22,H9,IF(C9=[1]Tallgrunnlag!$B$92,((E9+F9+G9)*5),IF(C9=[1]Tallgrunnlag!$B$93,((E9+F9+G9)*4),E9+F9+G9))))</f>
        <v/>
      </c>
      <c r="J9" s="20" t="str">
        <f t="shared" si="0"/>
        <v/>
      </c>
      <c r="K9" s="21" t="str">
        <f>IF(A9="","",IF(A9=[1]Tallgrunnlag!$A$22,J9/D9,J9/D9))</f>
        <v/>
      </c>
      <c r="M9" s="26" t="s">
        <v>44</v>
      </c>
      <c r="N9" s="28">
        <f>[1]Tallgrunnlag!B53*$M$1</f>
        <v>462.5</v>
      </c>
      <c r="O9" s="28">
        <f t="shared" si="1"/>
        <v>12.171052631578947</v>
      </c>
    </row>
    <row r="10" spans="1:20" x14ac:dyDescent="0.25">
      <c r="A10" s="18"/>
      <c r="B10" s="18"/>
      <c r="C10" s="18"/>
      <c r="D10" s="19">
        <f>IF(A10=[1]Tallgrunnlag!$A$3,[1]Tallgrunnlag!$B$3,IF(A10=[1]Tallgrunnlag!$A$4,[1]Tallgrunnlag!$B$4,IF(A10=[1]Tallgrunnlag!$A$5,[1]Tallgrunnlag!$B$5,IF(A10=[1]Tallgrunnlag!$A$6,[1]Tallgrunnlag!$B$6,IF(A10=[1]Tallgrunnlag!$A$7,[1]Tallgrunnlag!$B$7)))))+IF(A10=[1]Tallgrunnlag!$A$8,[1]Tallgrunnlag!$B$8,IF(A10=[1]Tallgrunnlag!$A$9,[1]Tallgrunnlag!$B$9,IF(A10=[1]Tallgrunnlag!$A$10,[1]Tallgrunnlag!$B$10,IF(A10=[1]Tallgrunnlag!$A$11,[1]Tallgrunnlag!$B$11,IF(A10=[1]Tallgrunnlag!$A$12,[1]Tallgrunnlag!$B$12,IF(A10=[1]Tallgrunnlag!$A$13,[1]Tallgrunnlag!$B$13,IF(A10=[1]Tallgrunnlag!$A$14,[1]Tallgrunnlag!$B$14,IF(A10=[1]Tallgrunnlag!$A$15,[1]Tallgrunnlag!$B$15,IF(A10=[1]Tallgrunnlag!$A$16,[1]Tallgrunnlag!$B$16,IF(A10=[1]Tallgrunnlag!$A$17,[1]Tallgrunnlag!$B$17,IF(A10=[1]Tallgrunnlag!$A$18,[1]Tallgrunnlag!$B$18,IF(A10=[1]Tallgrunnlag!$A$19,[1]Tallgrunnlag!$B$19,IF(A10=[1]Tallgrunnlag!$A$20,[1]Tallgrunnlag!$B$20,IF(A10=[1]Tallgrunnlag!$A$21,[1]Tallgrunnlag!$B$21,IF(A10=[1]Tallgrunnlag!$A$22,[1]Tallgrunnlag!$B$22,IF(A10=[1]Tallgrunnlag!$A$23,[1]Tallgrunnlag!$B$23,IF(A10=[1]Tallgrunnlag!$A$24,[1]Tallgrunnlag!$B$24,IF(A10=[1]Tallgrunnlag!$A$25,[1]Tallgrunnlag!$B$25,IF(A10=[1]Tallgrunnlag!$A$26,[1]Tallgrunnlag!$B$26,IF(A10=[1]Tallgrunnlag!$A$27,[1]Tallgrunnlag!$B$27,IF(A10=[1]Tallgrunnlag!$A$28,[1]Tallgrunnlag!$B$28,IF(A10=[1]Tallgrunnlag!$A$29,[1]Tallgrunnlag!$B$29,))))))))))))))))))))))</f>
        <v>0</v>
      </c>
      <c r="E10" s="20" t="b">
        <f>IF(B10=8,IF(A10=[1]Tallgrunnlag!$A$3,[1]Tallgrunnlag!$D$3,IF(A10=[1]Tallgrunnlag!$A$4,[1]Tallgrunnlag!$D$4,IF(A10=[1]Tallgrunnlag!$A$5,[1]Tallgrunnlag!$D$5,IF(A10=[1]Tallgrunnlag!$A$6,[1]Tallgrunnlag!$D$6,IF(A10=[1]Tallgrunnlag!$A$7,[1]Tallgrunnlag!$D$7)))))+IF(A10=[1]Tallgrunnlag!$A$8,[1]Tallgrunnlag!$D$8,IF(A10=[1]Tallgrunnlag!$A$9,[1]Tallgrunnlag!$D$9,IF(A10=[1]Tallgrunnlag!$A$10,[1]Tallgrunnlag!$D$10,IF(A10=[1]Tallgrunnlag!$A$11,[1]Tallgrunnlag!$D$11,IF(A10=[1]Tallgrunnlag!$A$12,[1]Tallgrunnlag!$D$12,IF(A10=[1]Tallgrunnlag!$A$13,[1]Tallgrunnlag!$D$13,IF(A10=[1]Tallgrunnlag!$A$14,[1]Tallgrunnlag!$D$14,IF(A10=[1]Tallgrunnlag!$A$15,[1]Tallgrunnlag!$D$15,IF(A10=[1]Tallgrunnlag!$A$16,[1]Tallgrunnlag!$D$16,IF(A10=[1]Tallgrunnlag!$A$17,[1]Tallgrunnlag!$D$17,IF(A10=[1]Tallgrunnlag!$A$18,[1]Tallgrunnlag!$D$18,IF(A10=[1]Tallgrunnlag!$A$19,[1]Tallgrunnlag!$D$19,IF(A10=[1]Tallgrunnlag!$A$20,[1]Tallgrunnlag!$D$20,IF(A10=[1]Tallgrunnlag!$A$21,[1]Tallgrunnlag!$D$21,IF(A10=[1]Tallgrunnlag!$A$22,[1]Tallgrunnlag!$D$22,IF(A10=[1]Tallgrunnlag!$A$23,[1]Tallgrunnlag!$D$23,IF(A10=[1]Tallgrunnlag!$A$24,[1]Tallgrunnlag!$D$24,IF(A10=[1]Tallgrunnlag!$A$25,[1]Tallgrunnlag!$D$25,IF(A10=[1]Tallgrunnlag!$A$26,[1]Tallgrunnlag!$D$26,IF(A10=[1]Tallgrunnlag!$A$27,[1]Tallgrunnlag!$D$27,IF(A10=[1]Tallgrunnlag!$A$28,[1]Tallgrunnlag!$D$28,IF(A10=[1]Tallgrunnlag!$A$29,[1]Tallgrunnlag!$D$29,)))))))))))))))))))))))</f>
        <v>0</v>
      </c>
      <c r="F10" s="20" t="b">
        <f>IF(B10=9,IF(A10=[1]Tallgrunnlag!$A$3,[1]Tallgrunnlag!$E$3,IF(A10=[1]Tallgrunnlag!$A$4,[1]Tallgrunnlag!$E$4,IF(A10=[1]Tallgrunnlag!$A$5,[1]Tallgrunnlag!$E$5,IF(A10=[1]Tallgrunnlag!$A$6,[1]Tallgrunnlag!$E$6,IF(A10=[1]Tallgrunnlag!$A$7,[1]Tallgrunnlag!$E$7)))))+IF(A10=[1]Tallgrunnlag!$A$8,[1]Tallgrunnlag!$E$8,IF(A10=[1]Tallgrunnlag!$A$9,[1]Tallgrunnlag!$E$9,IF(A10=[1]Tallgrunnlag!$A$10,[1]Tallgrunnlag!$E$10,IF(A10=[1]Tallgrunnlag!$A$11,[1]Tallgrunnlag!$E$11,IF(A10=[1]Tallgrunnlag!$A$12,[1]Tallgrunnlag!$E$12,IF(A10=[1]Tallgrunnlag!$A$13,[1]Tallgrunnlag!$E$13,IF(A10=[1]Tallgrunnlag!$A$14,[1]Tallgrunnlag!$E$14,IF(A10=[1]Tallgrunnlag!$A$15,[1]Tallgrunnlag!$E$15,IF(A10=[1]Tallgrunnlag!$A$16,[1]Tallgrunnlag!$E$16,IF(A10=[1]Tallgrunnlag!$A$17,[1]Tallgrunnlag!$E$17,IF(A10=[1]Tallgrunnlag!$A$18,[1]Tallgrunnlag!$E$18,IF(A10=[1]Tallgrunnlag!$A$19,[1]Tallgrunnlag!$E$19,IF(A10=[1]Tallgrunnlag!$A$20,[1]Tallgrunnlag!$E$20,IF(A10=[1]Tallgrunnlag!$A$21,[1]Tallgrunnlag!$E$21,IF(A10=[1]Tallgrunnlag!$A$22,[1]Tallgrunnlag!$E$22,IF(A10=[1]Tallgrunnlag!$A$23,[1]Tallgrunnlag!$E$23,IF(A10=[1]Tallgrunnlag!$A$24,[1]Tallgrunnlag!$E$24,IF(A10=[1]Tallgrunnlag!$A$25,[1]Tallgrunnlag!$E$25,IF(A10=[1]Tallgrunnlag!$A$26,[1]Tallgrunnlag!$E$26,IF(A10=[1]Tallgrunnlag!$A$27,[1]Tallgrunnlag!$E$27,IF(A10=[1]Tallgrunnlag!$A$28,[1]Tallgrunnlag!$E$28,IF(A10=[1]Tallgrunnlag!$A$29,[1]Tallgrunnlag!$E$29,)))))))))))))))))))))))</f>
        <v>0</v>
      </c>
      <c r="G10" s="20" t="b">
        <f>IF(B10=10,IF(A10=[1]Tallgrunnlag!$A$3,[1]Tallgrunnlag!$F$3,IF(A10=[1]Tallgrunnlag!$A$4,[1]Tallgrunnlag!$F$4,IF(A10=[1]Tallgrunnlag!$A$5,[1]Tallgrunnlag!$F$5,IF(A10=[1]Tallgrunnlag!$A$6,[1]Tallgrunnlag!$F$6,IF(A10=[1]Tallgrunnlag!$A$7,[1]Tallgrunnlag!$F$7)))))+IF(A10=[1]Tallgrunnlag!$A$8,[1]Tallgrunnlag!$F$8,IF(A10=[1]Tallgrunnlag!$A$9,[1]Tallgrunnlag!$F$9,IF(A10=[1]Tallgrunnlag!$A$10,[1]Tallgrunnlag!$F$10,IF(A10=[1]Tallgrunnlag!$A$11,[1]Tallgrunnlag!$F$11,IF(A10=[1]Tallgrunnlag!$A$12,[1]Tallgrunnlag!$F$12,IF(A10=[1]Tallgrunnlag!$A$13,[1]Tallgrunnlag!$F$13,IF(A10=[1]Tallgrunnlag!$A$14,[1]Tallgrunnlag!$F$14,IF(A10=[1]Tallgrunnlag!$A$15,[1]Tallgrunnlag!$F$15,IF(A10=[1]Tallgrunnlag!$A$16,[1]Tallgrunnlag!$F$16,IF(A10=[1]Tallgrunnlag!$A$17,[1]Tallgrunnlag!$F$17,IF(A10=[1]Tallgrunnlag!$A$18,[1]Tallgrunnlag!$F$18,IF(A10=[1]Tallgrunnlag!$A$19,[1]Tallgrunnlag!$F$19,IF(A10=[1]Tallgrunnlag!$A$20,[1]Tallgrunnlag!$F$20,IF(A10=[1]Tallgrunnlag!$A$21,[1]Tallgrunnlag!$F$21,IF(A10=[1]Tallgrunnlag!$A$22,[1]Tallgrunnlag!$F$22,IF(A10=[1]Tallgrunnlag!$A$23,[1]Tallgrunnlag!$F$23,IF(A10=[1]Tallgrunnlag!$A$24,[1]Tallgrunnlag!$F$24,IF(A10=[1]Tallgrunnlag!$A$25,[1]Tallgrunnlag!$F$25,IF(A10=[1]Tallgrunnlag!$A$26,[1]Tallgrunnlag!$F$26,IF(A10=[1]Tallgrunnlag!$A$27,[1]Tallgrunnlag!$F$27,IF(A10=[1]Tallgrunnlag!$A$28,[1]Tallgrunnlag!$F$28,IF(A10=[1]Tallgrunnlag!$A$29,[1]Tallgrunnlag!$F$29,)))))))))))))))))))))))</f>
        <v>0</v>
      </c>
      <c r="H10" s="20" t="str">
        <f>IF(A10=[1]Tallgrunnlag!$A$22,[1]Tallgrunnlag!$C$22/3-E36-E37-E38-E39,"")</f>
        <v/>
      </c>
      <c r="I10" s="20" t="str">
        <f>IF(A10="","",IF(A10=[1]Tallgrunnlag!$A$22,H10,IF(C10=[1]Tallgrunnlag!$B$92,((E10+F10+G10)*5),IF(C10=[1]Tallgrunnlag!$B$93,((E10+F10+G10)*4),E10+F10+G10))))</f>
        <v/>
      </c>
      <c r="J10" s="20" t="str">
        <f t="shared" si="0"/>
        <v/>
      </c>
      <c r="K10" s="21" t="str">
        <f>IF(A10="","",IF(A10=[1]Tallgrunnlag!$A$22,J10/D10,J10/D10))</f>
        <v/>
      </c>
      <c r="M10" s="29" t="s">
        <v>45</v>
      </c>
      <c r="N10" s="30">
        <f>[1]Tallgrunnlag!B54*$M$1</f>
        <v>1187.5</v>
      </c>
      <c r="O10" s="30">
        <f t="shared" si="1"/>
        <v>31.25</v>
      </c>
    </row>
    <row r="11" spans="1:20" x14ac:dyDescent="0.25">
      <c r="A11" s="18"/>
      <c r="B11" s="18"/>
      <c r="C11" s="18"/>
      <c r="D11" s="19">
        <f>IF(A11=[1]Tallgrunnlag!$A$3,[1]Tallgrunnlag!$B$3,IF(A11=[1]Tallgrunnlag!$A$4,[1]Tallgrunnlag!$B$4,IF(A11=[1]Tallgrunnlag!$A$5,[1]Tallgrunnlag!$B$5,IF(A11=[1]Tallgrunnlag!$A$6,[1]Tallgrunnlag!$B$6,IF(A11=[1]Tallgrunnlag!$A$7,[1]Tallgrunnlag!$B$7)))))+IF(A11=[1]Tallgrunnlag!$A$8,[1]Tallgrunnlag!$B$8,IF(A11=[1]Tallgrunnlag!$A$9,[1]Tallgrunnlag!$B$9,IF(A11=[1]Tallgrunnlag!$A$10,[1]Tallgrunnlag!$B$10,IF(A11=[1]Tallgrunnlag!$A$11,[1]Tallgrunnlag!$B$11,IF(A11=[1]Tallgrunnlag!$A$12,[1]Tallgrunnlag!$B$12,IF(A11=[1]Tallgrunnlag!$A$13,[1]Tallgrunnlag!$B$13,IF(A11=[1]Tallgrunnlag!$A$14,[1]Tallgrunnlag!$B$14,IF(A11=[1]Tallgrunnlag!$A$15,[1]Tallgrunnlag!$B$15,IF(A11=[1]Tallgrunnlag!$A$16,[1]Tallgrunnlag!$B$16,IF(A11=[1]Tallgrunnlag!$A$17,[1]Tallgrunnlag!$B$17,IF(A11=[1]Tallgrunnlag!$A$18,[1]Tallgrunnlag!$B$18,IF(A11=[1]Tallgrunnlag!$A$19,[1]Tallgrunnlag!$B$19,IF(A11=[1]Tallgrunnlag!$A$20,[1]Tallgrunnlag!$B$20,IF(A11=[1]Tallgrunnlag!$A$21,[1]Tallgrunnlag!$B$21,IF(A11=[1]Tallgrunnlag!$A$22,[1]Tallgrunnlag!$B$22,IF(A11=[1]Tallgrunnlag!$A$23,[1]Tallgrunnlag!$B$23,IF(A11=[1]Tallgrunnlag!$A$24,[1]Tallgrunnlag!$B$24,IF(A11=[1]Tallgrunnlag!$A$25,[1]Tallgrunnlag!$B$25,IF(A11=[1]Tallgrunnlag!$A$26,[1]Tallgrunnlag!$B$26,IF(A11=[1]Tallgrunnlag!$A$27,[1]Tallgrunnlag!$B$27,IF(A11=[1]Tallgrunnlag!$A$28,[1]Tallgrunnlag!$B$28,IF(A11=[1]Tallgrunnlag!$A$29,[1]Tallgrunnlag!$B$29,))))))))))))))))))))))</f>
        <v>0</v>
      </c>
      <c r="E11" s="20" t="b">
        <f>IF(B11=8,IF(A11=[1]Tallgrunnlag!$A$3,[1]Tallgrunnlag!$D$3,IF(A11=[1]Tallgrunnlag!$A$4,[1]Tallgrunnlag!$D$4,IF(A11=[1]Tallgrunnlag!$A$5,[1]Tallgrunnlag!$D$5,IF(A11=[1]Tallgrunnlag!$A$6,[1]Tallgrunnlag!$D$6,IF(A11=[1]Tallgrunnlag!$A$7,[1]Tallgrunnlag!$D$7)))))+IF(A11=[1]Tallgrunnlag!$A$8,[1]Tallgrunnlag!$D$8,IF(A11=[1]Tallgrunnlag!$A$9,[1]Tallgrunnlag!$D$9,IF(A11=[1]Tallgrunnlag!$A$10,[1]Tallgrunnlag!$D$10,IF(A11=[1]Tallgrunnlag!$A$11,[1]Tallgrunnlag!$D$11,IF(A11=[1]Tallgrunnlag!$A$12,[1]Tallgrunnlag!$D$12,IF(A11=[1]Tallgrunnlag!$A$13,[1]Tallgrunnlag!$D$13,IF(A11=[1]Tallgrunnlag!$A$14,[1]Tallgrunnlag!$D$14,IF(A11=[1]Tallgrunnlag!$A$15,[1]Tallgrunnlag!$D$15,IF(A11=[1]Tallgrunnlag!$A$16,[1]Tallgrunnlag!$D$16,IF(A11=[1]Tallgrunnlag!$A$17,[1]Tallgrunnlag!$D$17,IF(A11=[1]Tallgrunnlag!$A$18,[1]Tallgrunnlag!$D$18,IF(A11=[1]Tallgrunnlag!$A$19,[1]Tallgrunnlag!$D$19,IF(A11=[1]Tallgrunnlag!$A$20,[1]Tallgrunnlag!$D$20,IF(A11=[1]Tallgrunnlag!$A$21,[1]Tallgrunnlag!$D$21,IF(A11=[1]Tallgrunnlag!$A$22,[1]Tallgrunnlag!$D$22,IF(A11=[1]Tallgrunnlag!$A$23,[1]Tallgrunnlag!$D$23,IF(A11=[1]Tallgrunnlag!$A$24,[1]Tallgrunnlag!$D$24,IF(A11=[1]Tallgrunnlag!$A$25,[1]Tallgrunnlag!$D$25,IF(A11=[1]Tallgrunnlag!$A$26,[1]Tallgrunnlag!$D$26,IF(A11=[1]Tallgrunnlag!$A$27,[1]Tallgrunnlag!$D$27,IF(A11=[1]Tallgrunnlag!$A$28,[1]Tallgrunnlag!$D$28,IF(A11=[1]Tallgrunnlag!$A$29,[1]Tallgrunnlag!$D$29,)))))))))))))))))))))))</f>
        <v>0</v>
      </c>
      <c r="F11" s="20" t="b">
        <f>IF(B11=9,IF(A11=[1]Tallgrunnlag!$A$3,[1]Tallgrunnlag!$E$3,IF(A11=[1]Tallgrunnlag!$A$4,[1]Tallgrunnlag!$E$4,IF(A11=[1]Tallgrunnlag!$A$5,[1]Tallgrunnlag!$E$5,IF(A11=[1]Tallgrunnlag!$A$6,[1]Tallgrunnlag!$E$6,IF(A11=[1]Tallgrunnlag!$A$7,[1]Tallgrunnlag!$E$7)))))+IF(A11=[1]Tallgrunnlag!$A$8,[1]Tallgrunnlag!$E$8,IF(A11=[1]Tallgrunnlag!$A$9,[1]Tallgrunnlag!$E$9,IF(A11=[1]Tallgrunnlag!$A$10,[1]Tallgrunnlag!$E$10,IF(A11=[1]Tallgrunnlag!$A$11,[1]Tallgrunnlag!$E$11,IF(A11=[1]Tallgrunnlag!$A$12,[1]Tallgrunnlag!$E$12,IF(A11=[1]Tallgrunnlag!$A$13,[1]Tallgrunnlag!$E$13,IF(A11=[1]Tallgrunnlag!$A$14,[1]Tallgrunnlag!$E$14,IF(A11=[1]Tallgrunnlag!$A$15,[1]Tallgrunnlag!$E$15,IF(A11=[1]Tallgrunnlag!$A$16,[1]Tallgrunnlag!$E$16,IF(A11=[1]Tallgrunnlag!$A$17,[1]Tallgrunnlag!$E$17,IF(A11=[1]Tallgrunnlag!$A$18,[1]Tallgrunnlag!$E$18,IF(A11=[1]Tallgrunnlag!$A$19,[1]Tallgrunnlag!$E$19,IF(A11=[1]Tallgrunnlag!$A$20,[1]Tallgrunnlag!$E$20,IF(A11=[1]Tallgrunnlag!$A$21,[1]Tallgrunnlag!$E$21,IF(A11=[1]Tallgrunnlag!$A$22,[1]Tallgrunnlag!$E$22,IF(A11=[1]Tallgrunnlag!$A$23,[1]Tallgrunnlag!$E$23,IF(A11=[1]Tallgrunnlag!$A$24,[1]Tallgrunnlag!$E$24,IF(A11=[1]Tallgrunnlag!$A$25,[1]Tallgrunnlag!$E$25,IF(A11=[1]Tallgrunnlag!$A$26,[1]Tallgrunnlag!$E$26,IF(A11=[1]Tallgrunnlag!$A$27,[1]Tallgrunnlag!$E$27,IF(A11=[1]Tallgrunnlag!$A$28,[1]Tallgrunnlag!$E$28,IF(A11=[1]Tallgrunnlag!$A$29,[1]Tallgrunnlag!$E$29,)))))))))))))))))))))))</f>
        <v>0</v>
      </c>
      <c r="G11" s="20" t="b">
        <f>IF(B11=10,IF(A11=[1]Tallgrunnlag!$A$3,[1]Tallgrunnlag!$F$3,IF(A11=[1]Tallgrunnlag!$A$4,[1]Tallgrunnlag!$F$4,IF(A11=[1]Tallgrunnlag!$A$5,[1]Tallgrunnlag!$F$5,IF(A11=[1]Tallgrunnlag!$A$6,[1]Tallgrunnlag!$F$6,IF(A11=[1]Tallgrunnlag!$A$7,[1]Tallgrunnlag!$F$7)))))+IF(A11=[1]Tallgrunnlag!$A$8,[1]Tallgrunnlag!$F$8,IF(A11=[1]Tallgrunnlag!$A$9,[1]Tallgrunnlag!$F$9,IF(A11=[1]Tallgrunnlag!$A$10,[1]Tallgrunnlag!$F$10,IF(A11=[1]Tallgrunnlag!$A$11,[1]Tallgrunnlag!$F$11,IF(A11=[1]Tallgrunnlag!$A$12,[1]Tallgrunnlag!$F$12,IF(A11=[1]Tallgrunnlag!$A$13,[1]Tallgrunnlag!$F$13,IF(A11=[1]Tallgrunnlag!$A$14,[1]Tallgrunnlag!$F$14,IF(A11=[1]Tallgrunnlag!$A$15,[1]Tallgrunnlag!$F$15,IF(A11=[1]Tallgrunnlag!$A$16,[1]Tallgrunnlag!$F$16,IF(A11=[1]Tallgrunnlag!$A$17,[1]Tallgrunnlag!$F$17,IF(A11=[1]Tallgrunnlag!$A$18,[1]Tallgrunnlag!$F$18,IF(A11=[1]Tallgrunnlag!$A$19,[1]Tallgrunnlag!$F$19,IF(A11=[1]Tallgrunnlag!$A$20,[1]Tallgrunnlag!$F$20,IF(A11=[1]Tallgrunnlag!$A$21,[1]Tallgrunnlag!$F$21,IF(A11=[1]Tallgrunnlag!$A$22,[1]Tallgrunnlag!$F$22,IF(A11=[1]Tallgrunnlag!$A$23,[1]Tallgrunnlag!$F$23,IF(A11=[1]Tallgrunnlag!$A$24,[1]Tallgrunnlag!$F$24,IF(A11=[1]Tallgrunnlag!$A$25,[1]Tallgrunnlag!$F$25,IF(A11=[1]Tallgrunnlag!$A$26,[1]Tallgrunnlag!$F$26,IF(A11=[1]Tallgrunnlag!$A$27,[1]Tallgrunnlag!$F$27,IF(A11=[1]Tallgrunnlag!$A$28,[1]Tallgrunnlag!$F$28,IF(A11=[1]Tallgrunnlag!$A$29,[1]Tallgrunnlag!$F$29,)))))))))))))))))))))))</f>
        <v>0</v>
      </c>
      <c r="H11" s="20" t="str">
        <f>IF(A11=[1]Tallgrunnlag!$A$22,[1]Tallgrunnlag!$C$22/3-E37-E38-E39-E40,"")</f>
        <v/>
      </c>
      <c r="I11" s="20" t="str">
        <f>IF(A11="","",IF(A11=[1]Tallgrunnlag!$A$22,H11,IF(C11=[1]Tallgrunnlag!$B$92,((E11+F11+G11)*5),IF(C11=[1]Tallgrunnlag!$B$93,((E11+F11+G11)*4),E11+F11+G11))))</f>
        <v/>
      </c>
      <c r="J11" s="20" t="str">
        <f t="shared" si="0"/>
        <v/>
      </c>
      <c r="K11" s="21" t="str">
        <f>IF(A11="","",IF(A11=[1]Tallgrunnlag!$A$22,J11/D11,J11/D11))</f>
        <v/>
      </c>
      <c r="M11" s="26" t="s">
        <v>28</v>
      </c>
      <c r="N11" s="27">
        <f>J28</f>
        <v>570</v>
      </c>
      <c r="O11" s="27">
        <f t="shared" si="1"/>
        <v>15</v>
      </c>
    </row>
    <row r="12" spans="1:20" x14ac:dyDescent="0.25">
      <c r="A12" s="18"/>
      <c r="B12" s="18"/>
      <c r="C12" s="18"/>
      <c r="D12" s="19">
        <f>IF(A12=[1]Tallgrunnlag!$A$3,[1]Tallgrunnlag!$B$3,IF(A12=[1]Tallgrunnlag!$A$4,[1]Tallgrunnlag!$B$4,IF(A12=[1]Tallgrunnlag!$A$5,[1]Tallgrunnlag!$B$5,IF(A12=[1]Tallgrunnlag!$A$6,[1]Tallgrunnlag!$B$6,IF(A12=[1]Tallgrunnlag!$A$7,[1]Tallgrunnlag!$B$7)))))+IF(A12=[1]Tallgrunnlag!$A$8,[1]Tallgrunnlag!$B$8,IF(A12=[1]Tallgrunnlag!$A$9,[1]Tallgrunnlag!$B$9,IF(A12=[1]Tallgrunnlag!$A$10,[1]Tallgrunnlag!$B$10,IF(A12=[1]Tallgrunnlag!$A$11,[1]Tallgrunnlag!$B$11,IF(A12=[1]Tallgrunnlag!$A$12,[1]Tallgrunnlag!$B$12,IF(A12=[1]Tallgrunnlag!$A$13,[1]Tallgrunnlag!$B$13,IF(A12=[1]Tallgrunnlag!$A$14,[1]Tallgrunnlag!$B$14,IF(A12=[1]Tallgrunnlag!$A$15,[1]Tallgrunnlag!$B$15,IF(A12=[1]Tallgrunnlag!$A$16,[1]Tallgrunnlag!$B$16,IF(A12=[1]Tallgrunnlag!$A$17,[1]Tallgrunnlag!$B$17,IF(A12=[1]Tallgrunnlag!$A$18,[1]Tallgrunnlag!$B$18,IF(A12=[1]Tallgrunnlag!$A$19,[1]Tallgrunnlag!$B$19,IF(A12=[1]Tallgrunnlag!$A$20,[1]Tallgrunnlag!$B$20,IF(A12=[1]Tallgrunnlag!$A$21,[1]Tallgrunnlag!$B$21,IF(A12=[1]Tallgrunnlag!$A$22,[1]Tallgrunnlag!$B$22,IF(A12=[1]Tallgrunnlag!$A$23,[1]Tallgrunnlag!$B$23,IF(A12=[1]Tallgrunnlag!$A$24,[1]Tallgrunnlag!$B$24,IF(A12=[1]Tallgrunnlag!$A$25,[1]Tallgrunnlag!$B$25,IF(A12=[1]Tallgrunnlag!$A$26,[1]Tallgrunnlag!$B$26,IF(A12=[1]Tallgrunnlag!$A$27,[1]Tallgrunnlag!$B$27,IF(A12=[1]Tallgrunnlag!$A$28,[1]Tallgrunnlag!$B$28,IF(A12=[1]Tallgrunnlag!$A$29,[1]Tallgrunnlag!$B$29,))))))))))))))))))))))</f>
        <v>0</v>
      </c>
      <c r="E12" s="20" t="b">
        <f>IF(B12=8,IF(A12=[1]Tallgrunnlag!$A$3,[1]Tallgrunnlag!$D$3,IF(A12=[1]Tallgrunnlag!$A$4,[1]Tallgrunnlag!$D$4,IF(A12=[1]Tallgrunnlag!$A$5,[1]Tallgrunnlag!$D$5,IF(A12=[1]Tallgrunnlag!$A$6,[1]Tallgrunnlag!$D$6,IF(A12=[1]Tallgrunnlag!$A$7,[1]Tallgrunnlag!$D$7)))))+IF(A12=[1]Tallgrunnlag!$A$8,[1]Tallgrunnlag!$D$8,IF(A12=[1]Tallgrunnlag!$A$9,[1]Tallgrunnlag!$D$9,IF(A12=[1]Tallgrunnlag!$A$10,[1]Tallgrunnlag!$D$10,IF(A12=[1]Tallgrunnlag!$A$11,[1]Tallgrunnlag!$D$11,IF(A12=[1]Tallgrunnlag!$A$12,[1]Tallgrunnlag!$D$12,IF(A12=[1]Tallgrunnlag!$A$13,[1]Tallgrunnlag!$D$13,IF(A12=[1]Tallgrunnlag!$A$14,[1]Tallgrunnlag!$D$14,IF(A12=[1]Tallgrunnlag!$A$15,[1]Tallgrunnlag!$D$15,IF(A12=[1]Tallgrunnlag!$A$16,[1]Tallgrunnlag!$D$16,IF(A12=[1]Tallgrunnlag!$A$17,[1]Tallgrunnlag!$D$17,IF(A12=[1]Tallgrunnlag!$A$18,[1]Tallgrunnlag!$D$18,IF(A12=[1]Tallgrunnlag!$A$19,[1]Tallgrunnlag!$D$19,IF(A12=[1]Tallgrunnlag!$A$20,[1]Tallgrunnlag!$D$20,IF(A12=[1]Tallgrunnlag!$A$21,[1]Tallgrunnlag!$D$21,IF(A12=[1]Tallgrunnlag!$A$22,[1]Tallgrunnlag!$D$22,IF(A12=[1]Tallgrunnlag!$A$23,[1]Tallgrunnlag!$D$23,IF(A12=[1]Tallgrunnlag!$A$24,[1]Tallgrunnlag!$D$24,IF(A12=[1]Tallgrunnlag!$A$25,[1]Tallgrunnlag!$D$25,IF(A12=[1]Tallgrunnlag!$A$26,[1]Tallgrunnlag!$D$26,IF(A12=[1]Tallgrunnlag!$A$27,[1]Tallgrunnlag!$D$27,IF(A12=[1]Tallgrunnlag!$A$28,[1]Tallgrunnlag!$D$28,IF(A12=[1]Tallgrunnlag!$A$29,[1]Tallgrunnlag!$D$29,)))))))))))))))))))))))</f>
        <v>0</v>
      </c>
      <c r="F12" s="20" t="b">
        <f>IF(B12=9,IF(A12=[1]Tallgrunnlag!$A$3,[1]Tallgrunnlag!$E$3,IF(A12=[1]Tallgrunnlag!$A$4,[1]Tallgrunnlag!$E$4,IF(A12=[1]Tallgrunnlag!$A$5,[1]Tallgrunnlag!$E$5,IF(A12=[1]Tallgrunnlag!$A$6,[1]Tallgrunnlag!$E$6,IF(A12=[1]Tallgrunnlag!$A$7,[1]Tallgrunnlag!$E$7)))))+IF(A12=[1]Tallgrunnlag!$A$8,[1]Tallgrunnlag!$E$8,IF(A12=[1]Tallgrunnlag!$A$9,[1]Tallgrunnlag!$E$9,IF(A12=[1]Tallgrunnlag!$A$10,[1]Tallgrunnlag!$E$10,IF(A12=[1]Tallgrunnlag!$A$11,[1]Tallgrunnlag!$E$11,IF(A12=[1]Tallgrunnlag!$A$12,[1]Tallgrunnlag!$E$12,IF(A12=[1]Tallgrunnlag!$A$13,[1]Tallgrunnlag!$E$13,IF(A12=[1]Tallgrunnlag!$A$14,[1]Tallgrunnlag!$E$14,IF(A12=[1]Tallgrunnlag!$A$15,[1]Tallgrunnlag!$E$15,IF(A12=[1]Tallgrunnlag!$A$16,[1]Tallgrunnlag!$E$16,IF(A12=[1]Tallgrunnlag!$A$17,[1]Tallgrunnlag!$E$17,IF(A12=[1]Tallgrunnlag!$A$18,[1]Tallgrunnlag!$E$18,IF(A12=[1]Tallgrunnlag!$A$19,[1]Tallgrunnlag!$E$19,IF(A12=[1]Tallgrunnlag!$A$20,[1]Tallgrunnlag!$E$20,IF(A12=[1]Tallgrunnlag!$A$21,[1]Tallgrunnlag!$E$21,IF(A12=[1]Tallgrunnlag!$A$22,[1]Tallgrunnlag!$E$22,IF(A12=[1]Tallgrunnlag!$A$23,[1]Tallgrunnlag!$E$23,IF(A12=[1]Tallgrunnlag!$A$24,[1]Tallgrunnlag!$E$24,IF(A12=[1]Tallgrunnlag!$A$25,[1]Tallgrunnlag!$E$25,IF(A12=[1]Tallgrunnlag!$A$26,[1]Tallgrunnlag!$E$26,IF(A12=[1]Tallgrunnlag!$A$27,[1]Tallgrunnlag!$E$27,IF(A12=[1]Tallgrunnlag!$A$28,[1]Tallgrunnlag!$E$28,IF(A12=[1]Tallgrunnlag!$A$29,[1]Tallgrunnlag!$E$29,)))))))))))))))))))))))</f>
        <v>0</v>
      </c>
      <c r="G12" s="20" t="b">
        <f>IF(B12=10,IF(A12=[1]Tallgrunnlag!$A$3,[1]Tallgrunnlag!$F$3,IF(A12=[1]Tallgrunnlag!$A$4,[1]Tallgrunnlag!$F$4,IF(A12=[1]Tallgrunnlag!$A$5,[1]Tallgrunnlag!$F$5,IF(A12=[1]Tallgrunnlag!$A$6,[1]Tallgrunnlag!$F$6,IF(A12=[1]Tallgrunnlag!$A$7,[1]Tallgrunnlag!$F$7)))))+IF(A12=[1]Tallgrunnlag!$A$8,[1]Tallgrunnlag!$F$8,IF(A12=[1]Tallgrunnlag!$A$9,[1]Tallgrunnlag!$F$9,IF(A12=[1]Tallgrunnlag!$A$10,[1]Tallgrunnlag!$F$10,IF(A12=[1]Tallgrunnlag!$A$11,[1]Tallgrunnlag!$F$11,IF(A12=[1]Tallgrunnlag!$A$12,[1]Tallgrunnlag!$F$12,IF(A12=[1]Tallgrunnlag!$A$13,[1]Tallgrunnlag!$F$13,IF(A12=[1]Tallgrunnlag!$A$14,[1]Tallgrunnlag!$F$14,IF(A12=[1]Tallgrunnlag!$A$15,[1]Tallgrunnlag!$F$15,IF(A12=[1]Tallgrunnlag!$A$16,[1]Tallgrunnlag!$F$16,IF(A12=[1]Tallgrunnlag!$A$17,[1]Tallgrunnlag!$F$17,IF(A12=[1]Tallgrunnlag!$A$18,[1]Tallgrunnlag!$F$18,IF(A12=[1]Tallgrunnlag!$A$19,[1]Tallgrunnlag!$F$19,IF(A12=[1]Tallgrunnlag!$A$20,[1]Tallgrunnlag!$F$20,IF(A12=[1]Tallgrunnlag!$A$21,[1]Tallgrunnlag!$F$21,IF(A12=[1]Tallgrunnlag!$A$22,[1]Tallgrunnlag!$F$22,IF(A12=[1]Tallgrunnlag!$A$23,[1]Tallgrunnlag!$F$23,IF(A12=[1]Tallgrunnlag!$A$24,[1]Tallgrunnlag!$F$24,IF(A12=[1]Tallgrunnlag!$A$25,[1]Tallgrunnlag!$F$25,IF(A12=[1]Tallgrunnlag!$A$26,[1]Tallgrunnlag!$F$26,IF(A12=[1]Tallgrunnlag!$A$27,[1]Tallgrunnlag!$F$27,IF(A12=[1]Tallgrunnlag!$A$28,[1]Tallgrunnlag!$F$28,IF(A12=[1]Tallgrunnlag!$A$29,[1]Tallgrunnlag!$F$29,)))))))))))))))))))))))</f>
        <v>0</v>
      </c>
      <c r="H12" s="20" t="str">
        <f>IF(A12=[1]Tallgrunnlag!$A$22,[1]Tallgrunnlag!$C$22/3-E38-E39-E40-E41,"")</f>
        <v/>
      </c>
      <c r="I12" s="20" t="str">
        <f>IF(A12="","",IF(A12=[1]Tallgrunnlag!$A$22,H12,IF(C12=[1]Tallgrunnlag!$B$92,((E12+F12+G12)*5),IF(C12=[1]Tallgrunnlag!$B$93,((E12+F12+G12)*4),E12+F12+G12))))</f>
        <v/>
      </c>
      <c r="J12" s="20" t="str">
        <f t="shared" si="0"/>
        <v/>
      </c>
      <c r="K12" s="21" t="str">
        <f>IF(A12="","",IF(A12=[1]Tallgrunnlag!$A$22,J12/D12,J12/D12))</f>
        <v/>
      </c>
      <c r="M12" s="31" t="s">
        <v>46</v>
      </c>
      <c r="N12" s="32">
        <f>J36</f>
        <v>88.54</v>
      </c>
      <c r="O12" s="32">
        <f t="shared" si="1"/>
        <v>2.33</v>
      </c>
    </row>
    <row r="13" spans="1:20" x14ac:dyDescent="0.25">
      <c r="A13" s="18"/>
      <c r="B13" s="18"/>
      <c r="C13" s="18"/>
      <c r="D13" s="19">
        <f>IF(A13=[1]Tallgrunnlag!$A$3,[1]Tallgrunnlag!$B$3,IF(A13=[1]Tallgrunnlag!$A$4,[1]Tallgrunnlag!$B$4,IF(A13=[1]Tallgrunnlag!$A$5,[1]Tallgrunnlag!$B$5,IF(A13=[1]Tallgrunnlag!$A$6,[1]Tallgrunnlag!$B$6,IF(A13=[1]Tallgrunnlag!$A$7,[1]Tallgrunnlag!$B$7)))))+IF(A13=[1]Tallgrunnlag!$A$8,[1]Tallgrunnlag!$B$8,IF(A13=[1]Tallgrunnlag!$A$9,[1]Tallgrunnlag!$B$9,IF(A13=[1]Tallgrunnlag!$A$10,[1]Tallgrunnlag!$B$10,IF(A13=[1]Tallgrunnlag!$A$11,[1]Tallgrunnlag!$B$11,IF(A13=[1]Tallgrunnlag!$A$12,[1]Tallgrunnlag!$B$12,IF(A13=[1]Tallgrunnlag!$A$13,[1]Tallgrunnlag!$B$13,IF(A13=[1]Tallgrunnlag!$A$14,[1]Tallgrunnlag!$B$14,IF(A13=[1]Tallgrunnlag!$A$15,[1]Tallgrunnlag!$B$15,IF(A13=[1]Tallgrunnlag!$A$16,[1]Tallgrunnlag!$B$16,IF(A13=[1]Tallgrunnlag!$A$17,[1]Tallgrunnlag!$B$17,IF(A13=[1]Tallgrunnlag!$A$18,[1]Tallgrunnlag!$B$18,IF(A13=[1]Tallgrunnlag!$A$19,[1]Tallgrunnlag!$B$19,IF(A13=[1]Tallgrunnlag!$A$20,[1]Tallgrunnlag!$B$20,IF(A13=[1]Tallgrunnlag!$A$21,[1]Tallgrunnlag!$B$21,IF(A13=[1]Tallgrunnlag!$A$22,[1]Tallgrunnlag!$B$22,IF(A13=[1]Tallgrunnlag!$A$23,[1]Tallgrunnlag!$B$23,IF(A13=[1]Tallgrunnlag!$A$24,[1]Tallgrunnlag!$B$24,IF(A13=[1]Tallgrunnlag!$A$25,[1]Tallgrunnlag!$B$25,IF(A13=[1]Tallgrunnlag!$A$26,[1]Tallgrunnlag!$B$26,IF(A13=[1]Tallgrunnlag!$A$27,[1]Tallgrunnlag!$B$27,IF(A13=[1]Tallgrunnlag!$A$28,[1]Tallgrunnlag!$B$28,IF(A13=[1]Tallgrunnlag!$A$29,[1]Tallgrunnlag!$B$29,))))))))))))))))))))))</f>
        <v>0</v>
      </c>
      <c r="E13" s="20" t="b">
        <f>IF(B13=8,IF(A13=[1]Tallgrunnlag!$A$3,[1]Tallgrunnlag!$D$3,IF(A13=[1]Tallgrunnlag!$A$4,[1]Tallgrunnlag!$D$4,IF(A13=[1]Tallgrunnlag!$A$5,[1]Tallgrunnlag!$D$5,IF(A13=[1]Tallgrunnlag!$A$6,[1]Tallgrunnlag!$D$6,IF(A13=[1]Tallgrunnlag!$A$7,[1]Tallgrunnlag!$D$7)))))+IF(A13=[1]Tallgrunnlag!$A$8,[1]Tallgrunnlag!$D$8,IF(A13=[1]Tallgrunnlag!$A$9,[1]Tallgrunnlag!$D$9,IF(A13=[1]Tallgrunnlag!$A$10,[1]Tallgrunnlag!$D$10,IF(A13=[1]Tallgrunnlag!$A$11,[1]Tallgrunnlag!$D$11,IF(A13=[1]Tallgrunnlag!$A$12,[1]Tallgrunnlag!$D$12,IF(A13=[1]Tallgrunnlag!$A$13,[1]Tallgrunnlag!$D$13,IF(A13=[1]Tallgrunnlag!$A$14,[1]Tallgrunnlag!$D$14,IF(A13=[1]Tallgrunnlag!$A$15,[1]Tallgrunnlag!$D$15,IF(A13=[1]Tallgrunnlag!$A$16,[1]Tallgrunnlag!$D$16,IF(A13=[1]Tallgrunnlag!$A$17,[1]Tallgrunnlag!$D$17,IF(A13=[1]Tallgrunnlag!$A$18,[1]Tallgrunnlag!$D$18,IF(A13=[1]Tallgrunnlag!$A$19,[1]Tallgrunnlag!$D$19,IF(A13=[1]Tallgrunnlag!$A$20,[1]Tallgrunnlag!$D$20,IF(A13=[1]Tallgrunnlag!$A$21,[1]Tallgrunnlag!$D$21,IF(A13=[1]Tallgrunnlag!$A$22,[1]Tallgrunnlag!$D$22,IF(A13=[1]Tallgrunnlag!$A$23,[1]Tallgrunnlag!$D$23,IF(A13=[1]Tallgrunnlag!$A$24,[1]Tallgrunnlag!$D$24,IF(A13=[1]Tallgrunnlag!$A$25,[1]Tallgrunnlag!$D$25,IF(A13=[1]Tallgrunnlag!$A$26,[1]Tallgrunnlag!$D$26,IF(A13=[1]Tallgrunnlag!$A$27,[1]Tallgrunnlag!$D$27,IF(A13=[1]Tallgrunnlag!$A$28,[1]Tallgrunnlag!$D$28,IF(A13=[1]Tallgrunnlag!$A$29,[1]Tallgrunnlag!$D$29,)))))))))))))))))))))))</f>
        <v>0</v>
      </c>
      <c r="F13" s="20" t="b">
        <f>IF(B13=9,IF(A13=[1]Tallgrunnlag!$A$3,[1]Tallgrunnlag!$E$3,IF(A13=[1]Tallgrunnlag!$A$4,[1]Tallgrunnlag!$E$4,IF(A13=[1]Tallgrunnlag!$A$5,[1]Tallgrunnlag!$E$5,IF(A13=[1]Tallgrunnlag!$A$6,[1]Tallgrunnlag!$E$6,IF(A13=[1]Tallgrunnlag!$A$7,[1]Tallgrunnlag!$E$7)))))+IF(A13=[1]Tallgrunnlag!$A$8,[1]Tallgrunnlag!$E$8,IF(A13=[1]Tallgrunnlag!$A$9,[1]Tallgrunnlag!$E$9,IF(A13=[1]Tallgrunnlag!$A$10,[1]Tallgrunnlag!$E$10,IF(A13=[1]Tallgrunnlag!$A$11,[1]Tallgrunnlag!$E$11,IF(A13=[1]Tallgrunnlag!$A$12,[1]Tallgrunnlag!$E$12,IF(A13=[1]Tallgrunnlag!$A$13,[1]Tallgrunnlag!$E$13,IF(A13=[1]Tallgrunnlag!$A$14,[1]Tallgrunnlag!$E$14,IF(A13=[1]Tallgrunnlag!$A$15,[1]Tallgrunnlag!$E$15,IF(A13=[1]Tallgrunnlag!$A$16,[1]Tallgrunnlag!$E$16,IF(A13=[1]Tallgrunnlag!$A$17,[1]Tallgrunnlag!$E$17,IF(A13=[1]Tallgrunnlag!$A$18,[1]Tallgrunnlag!$E$18,IF(A13=[1]Tallgrunnlag!$A$19,[1]Tallgrunnlag!$E$19,IF(A13=[1]Tallgrunnlag!$A$20,[1]Tallgrunnlag!$E$20,IF(A13=[1]Tallgrunnlag!$A$21,[1]Tallgrunnlag!$E$21,IF(A13=[1]Tallgrunnlag!$A$22,[1]Tallgrunnlag!$E$22,IF(A13=[1]Tallgrunnlag!$A$23,[1]Tallgrunnlag!$E$23,IF(A13=[1]Tallgrunnlag!$A$24,[1]Tallgrunnlag!$E$24,IF(A13=[1]Tallgrunnlag!$A$25,[1]Tallgrunnlag!$E$25,IF(A13=[1]Tallgrunnlag!$A$26,[1]Tallgrunnlag!$E$26,IF(A13=[1]Tallgrunnlag!$A$27,[1]Tallgrunnlag!$E$27,IF(A13=[1]Tallgrunnlag!$A$28,[1]Tallgrunnlag!$E$28,IF(A13=[1]Tallgrunnlag!$A$29,[1]Tallgrunnlag!$E$29,)))))))))))))))))))))))</f>
        <v>0</v>
      </c>
      <c r="G13" s="20" t="b">
        <f>IF(B13=10,IF(A13=[1]Tallgrunnlag!$A$3,[1]Tallgrunnlag!$F$3,IF(A13=[1]Tallgrunnlag!$A$4,[1]Tallgrunnlag!$F$4,IF(A13=[1]Tallgrunnlag!$A$5,[1]Tallgrunnlag!$F$5,IF(A13=[1]Tallgrunnlag!$A$6,[1]Tallgrunnlag!$F$6,IF(A13=[1]Tallgrunnlag!$A$7,[1]Tallgrunnlag!$F$7)))))+IF(A13=[1]Tallgrunnlag!$A$8,[1]Tallgrunnlag!$F$8,IF(A13=[1]Tallgrunnlag!$A$9,[1]Tallgrunnlag!$F$9,IF(A13=[1]Tallgrunnlag!$A$10,[1]Tallgrunnlag!$F$10,IF(A13=[1]Tallgrunnlag!$A$11,[1]Tallgrunnlag!$F$11,IF(A13=[1]Tallgrunnlag!$A$12,[1]Tallgrunnlag!$F$12,IF(A13=[1]Tallgrunnlag!$A$13,[1]Tallgrunnlag!$F$13,IF(A13=[1]Tallgrunnlag!$A$14,[1]Tallgrunnlag!$F$14,IF(A13=[1]Tallgrunnlag!$A$15,[1]Tallgrunnlag!$F$15,IF(A13=[1]Tallgrunnlag!$A$16,[1]Tallgrunnlag!$F$16,IF(A13=[1]Tallgrunnlag!$A$17,[1]Tallgrunnlag!$F$17,IF(A13=[1]Tallgrunnlag!$A$18,[1]Tallgrunnlag!$F$18,IF(A13=[1]Tallgrunnlag!$A$19,[1]Tallgrunnlag!$F$19,IF(A13=[1]Tallgrunnlag!$A$20,[1]Tallgrunnlag!$F$20,IF(A13=[1]Tallgrunnlag!$A$21,[1]Tallgrunnlag!$F$21,IF(A13=[1]Tallgrunnlag!$A$22,[1]Tallgrunnlag!$F$22,IF(A13=[1]Tallgrunnlag!$A$23,[1]Tallgrunnlag!$F$23,IF(A13=[1]Tallgrunnlag!$A$24,[1]Tallgrunnlag!$F$24,IF(A13=[1]Tallgrunnlag!$A$25,[1]Tallgrunnlag!$F$25,IF(A13=[1]Tallgrunnlag!$A$26,[1]Tallgrunnlag!$F$26,IF(A13=[1]Tallgrunnlag!$A$27,[1]Tallgrunnlag!$F$27,IF(A13=[1]Tallgrunnlag!$A$28,[1]Tallgrunnlag!$F$28,IF(A13=[1]Tallgrunnlag!$A$29,[1]Tallgrunnlag!$F$29,)))))))))))))))))))))))</f>
        <v>0</v>
      </c>
      <c r="H13" s="20" t="str">
        <f>IF(A13=[1]Tallgrunnlag!$A$22,[1]Tallgrunnlag!$C$22/3-E38-E39-E40-E41,"")</f>
        <v/>
      </c>
      <c r="I13" s="20" t="str">
        <f>IF(A13="","",IF(A13=[1]Tallgrunnlag!$A$22,H13,IF(C13=[1]Tallgrunnlag!$B$92,((E13+F13+G13)*5),IF(C13=[1]Tallgrunnlag!$B$93,((E13+F13+G13)*4),E13+F13+G13))))</f>
        <v/>
      </c>
      <c r="J13" s="20" t="str">
        <f t="shared" si="0"/>
        <v/>
      </c>
      <c r="K13" s="21" t="str">
        <f>IF(A13="","",IF(A13=[1]Tallgrunnlag!$A$22,J13/D13,J13/D13))</f>
        <v/>
      </c>
      <c r="M13" s="33" t="s">
        <v>47</v>
      </c>
      <c r="N13" s="34">
        <f>N10-N11-N12</f>
        <v>528.96</v>
      </c>
      <c r="O13" s="34">
        <f t="shared" si="1"/>
        <v>13.920000000000002</v>
      </c>
    </row>
    <row r="14" spans="1:20" x14ac:dyDescent="0.25">
      <c r="A14" s="18"/>
      <c r="B14" s="18"/>
      <c r="C14" s="18"/>
      <c r="D14" s="19">
        <f>IF(A14=[1]Tallgrunnlag!$A$3,[1]Tallgrunnlag!$B$3,IF(A14=[1]Tallgrunnlag!$A$4,[1]Tallgrunnlag!$B$4,IF(A14=[1]Tallgrunnlag!$A$5,[1]Tallgrunnlag!$B$5,IF(A14=[1]Tallgrunnlag!$A$6,[1]Tallgrunnlag!$B$6,IF(A14=[1]Tallgrunnlag!$A$7,[1]Tallgrunnlag!$B$7)))))+IF(A14=[1]Tallgrunnlag!$A$8,[1]Tallgrunnlag!$B$8,IF(A14=[1]Tallgrunnlag!$A$9,[1]Tallgrunnlag!$B$9,IF(A14=[1]Tallgrunnlag!$A$10,[1]Tallgrunnlag!$B$10,IF(A14=[1]Tallgrunnlag!$A$11,[1]Tallgrunnlag!$B$11,IF(A14=[1]Tallgrunnlag!$A$12,[1]Tallgrunnlag!$B$12,IF(A14=[1]Tallgrunnlag!$A$13,[1]Tallgrunnlag!$B$13,IF(A14=[1]Tallgrunnlag!$A$14,[1]Tallgrunnlag!$B$14,IF(A14=[1]Tallgrunnlag!$A$15,[1]Tallgrunnlag!$B$15,IF(A14=[1]Tallgrunnlag!$A$16,[1]Tallgrunnlag!$B$16,IF(A14=[1]Tallgrunnlag!$A$17,[1]Tallgrunnlag!$B$17,IF(A14=[1]Tallgrunnlag!$A$18,[1]Tallgrunnlag!$B$18,IF(A14=[1]Tallgrunnlag!$A$19,[1]Tallgrunnlag!$B$19,IF(A14=[1]Tallgrunnlag!$A$20,[1]Tallgrunnlag!$B$20,IF(A14=[1]Tallgrunnlag!$A$21,[1]Tallgrunnlag!$B$21,IF(A14=[1]Tallgrunnlag!$A$22,[1]Tallgrunnlag!$B$22,IF(A14=[1]Tallgrunnlag!$A$23,[1]Tallgrunnlag!$B$23,IF(A14=[1]Tallgrunnlag!$A$24,[1]Tallgrunnlag!$B$24,IF(A14=[1]Tallgrunnlag!$A$25,[1]Tallgrunnlag!$B$25,IF(A14=[1]Tallgrunnlag!$A$26,[1]Tallgrunnlag!$B$26,IF(A14=[1]Tallgrunnlag!$A$27,[1]Tallgrunnlag!$B$27,IF(A14=[1]Tallgrunnlag!$A$28,[1]Tallgrunnlag!$B$28,IF(A14=[1]Tallgrunnlag!$A$29,[1]Tallgrunnlag!$B$29,))))))))))))))))))))))</f>
        <v>0</v>
      </c>
      <c r="E14" s="20" t="b">
        <f>IF(B14=8,IF(A14=[1]Tallgrunnlag!$A$3,[1]Tallgrunnlag!$D$3,IF(A14=[1]Tallgrunnlag!$A$4,[1]Tallgrunnlag!$D$4,IF(A14=[1]Tallgrunnlag!$A$5,[1]Tallgrunnlag!$D$5,IF(A14=[1]Tallgrunnlag!$A$6,[1]Tallgrunnlag!$D$6,IF(A14=[1]Tallgrunnlag!$A$7,[1]Tallgrunnlag!$D$7)))))+IF(A14=[1]Tallgrunnlag!$A$8,[1]Tallgrunnlag!$D$8,IF(A14=[1]Tallgrunnlag!$A$9,[1]Tallgrunnlag!$D$9,IF(A14=[1]Tallgrunnlag!$A$10,[1]Tallgrunnlag!$D$10,IF(A14=[1]Tallgrunnlag!$A$11,[1]Tallgrunnlag!$D$11,IF(A14=[1]Tallgrunnlag!$A$12,[1]Tallgrunnlag!$D$12,IF(A14=[1]Tallgrunnlag!$A$13,[1]Tallgrunnlag!$D$13,IF(A14=[1]Tallgrunnlag!$A$14,[1]Tallgrunnlag!$D$14,IF(A14=[1]Tallgrunnlag!$A$15,[1]Tallgrunnlag!$D$15,IF(A14=[1]Tallgrunnlag!$A$16,[1]Tallgrunnlag!$D$16,IF(A14=[1]Tallgrunnlag!$A$17,[1]Tallgrunnlag!$D$17,IF(A14=[1]Tallgrunnlag!$A$18,[1]Tallgrunnlag!$D$18,IF(A14=[1]Tallgrunnlag!$A$19,[1]Tallgrunnlag!$D$19,IF(A14=[1]Tallgrunnlag!$A$20,[1]Tallgrunnlag!$D$20,IF(A14=[1]Tallgrunnlag!$A$21,[1]Tallgrunnlag!$D$21,IF(A14=[1]Tallgrunnlag!$A$22,[1]Tallgrunnlag!$D$22,IF(A14=[1]Tallgrunnlag!$A$23,[1]Tallgrunnlag!$D$23,IF(A14=[1]Tallgrunnlag!$A$24,[1]Tallgrunnlag!$D$24,IF(A14=[1]Tallgrunnlag!$A$25,[1]Tallgrunnlag!$D$25,IF(A14=[1]Tallgrunnlag!$A$26,[1]Tallgrunnlag!$D$26,IF(A14=[1]Tallgrunnlag!$A$27,[1]Tallgrunnlag!$D$27,IF(A14=[1]Tallgrunnlag!$A$28,[1]Tallgrunnlag!$D$28,IF(A14=[1]Tallgrunnlag!$A$29,[1]Tallgrunnlag!$D$29,)))))))))))))))))))))))</f>
        <v>0</v>
      </c>
      <c r="F14" s="20" t="b">
        <f>IF(B14=9,IF(A14=[1]Tallgrunnlag!$A$3,[1]Tallgrunnlag!$E$3,IF(A14=[1]Tallgrunnlag!$A$4,[1]Tallgrunnlag!$E$4,IF(A14=[1]Tallgrunnlag!$A$5,[1]Tallgrunnlag!$E$5,IF(A14=[1]Tallgrunnlag!$A$6,[1]Tallgrunnlag!$E$6,IF(A14=[1]Tallgrunnlag!$A$7,[1]Tallgrunnlag!$E$7)))))+IF(A14=[1]Tallgrunnlag!$A$8,[1]Tallgrunnlag!$E$8,IF(A14=[1]Tallgrunnlag!$A$9,[1]Tallgrunnlag!$E$9,IF(A14=[1]Tallgrunnlag!$A$10,[1]Tallgrunnlag!$E$10,IF(A14=[1]Tallgrunnlag!$A$11,[1]Tallgrunnlag!$E$11,IF(A14=[1]Tallgrunnlag!$A$12,[1]Tallgrunnlag!$E$12,IF(A14=[1]Tallgrunnlag!$A$13,[1]Tallgrunnlag!$E$13,IF(A14=[1]Tallgrunnlag!$A$14,[1]Tallgrunnlag!$E$14,IF(A14=[1]Tallgrunnlag!$A$15,[1]Tallgrunnlag!$E$15,IF(A14=[1]Tallgrunnlag!$A$16,[1]Tallgrunnlag!$E$16,IF(A14=[1]Tallgrunnlag!$A$17,[1]Tallgrunnlag!$E$17,IF(A14=[1]Tallgrunnlag!$A$18,[1]Tallgrunnlag!$E$18,IF(A14=[1]Tallgrunnlag!$A$19,[1]Tallgrunnlag!$E$19,IF(A14=[1]Tallgrunnlag!$A$20,[1]Tallgrunnlag!$E$20,IF(A14=[1]Tallgrunnlag!$A$21,[1]Tallgrunnlag!$E$21,IF(A14=[1]Tallgrunnlag!$A$22,[1]Tallgrunnlag!$E$22,IF(A14=[1]Tallgrunnlag!$A$23,[1]Tallgrunnlag!$E$23,IF(A14=[1]Tallgrunnlag!$A$24,[1]Tallgrunnlag!$E$24,IF(A14=[1]Tallgrunnlag!$A$25,[1]Tallgrunnlag!$E$25,IF(A14=[1]Tallgrunnlag!$A$26,[1]Tallgrunnlag!$E$26,IF(A14=[1]Tallgrunnlag!$A$27,[1]Tallgrunnlag!$E$27,IF(A14=[1]Tallgrunnlag!$A$28,[1]Tallgrunnlag!$E$28,IF(A14=[1]Tallgrunnlag!$A$29,[1]Tallgrunnlag!$E$29,)))))))))))))))))))))))</f>
        <v>0</v>
      </c>
      <c r="G14" s="20" t="b">
        <f>IF(B14=10,IF(A14=[1]Tallgrunnlag!$A$3,[1]Tallgrunnlag!$F$3,IF(A14=[1]Tallgrunnlag!$A$4,[1]Tallgrunnlag!$F$4,IF(A14=[1]Tallgrunnlag!$A$5,[1]Tallgrunnlag!$F$5,IF(A14=[1]Tallgrunnlag!$A$6,[1]Tallgrunnlag!$F$6,IF(A14=[1]Tallgrunnlag!$A$7,[1]Tallgrunnlag!$F$7)))))+IF(A14=[1]Tallgrunnlag!$A$8,[1]Tallgrunnlag!$F$8,IF(A14=[1]Tallgrunnlag!$A$9,[1]Tallgrunnlag!$F$9,IF(A14=[1]Tallgrunnlag!$A$10,[1]Tallgrunnlag!$F$10,IF(A14=[1]Tallgrunnlag!$A$11,[1]Tallgrunnlag!$F$11,IF(A14=[1]Tallgrunnlag!$A$12,[1]Tallgrunnlag!$F$12,IF(A14=[1]Tallgrunnlag!$A$13,[1]Tallgrunnlag!$F$13,IF(A14=[1]Tallgrunnlag!$A$14,[1]Tallgrunnlag!$F$14,IF(A14=[1]Tallgrunnlag!$A$15,[1]Tallgrunnlag!$F$15,IF(A14=[1]Tallgrunnlag!$A$16,[1]Tallgrunnlag!$F$16,IF(A14=[1]Tallgrunnlag!$A$17,[1]Tallgrunnlag!$F$17,IF(A14=[1]Tallgrunnlag!$A$18,[1]Tallgrunnlag!$F$18,IF(A14=[1]Tallgrunnlag!$A$19,[1]Tallgrunnlag!$F$19,IF(A14=[1]Tallgrunnlag!$A$20,[1]Tallgrunnlag!$F$20,IF(A14=[1]Tallgrunnlag!$A$21,[1]Tallgrunnlag!$F$21,IF(A14=[1]Tallgrunnlag!$A$22,[1]Tallgrunnlag!$F$22,IF(A14=[1]Tallgrunnlag!$A$23,[1]Tallgrunnlag!$F$23,IF(A14=[1]Tallgrunnlag!$A$24,[1]Tallgrunnlag!$F$24,IF(A14=[1]Tallgrunnlag!$A$25,[1]Tallgrunnlag!$F$25,IF(A14=[1]Tallgrunnlag!$A$26,[1]Tallgrunnlag!$F$26,IF(A14=[1]Tallgrunnlag!$A$27,[1]Tallgrunnlag!$F$27,IF(A14=[1]Tallgrunnlag!$A$28,[1]Tallgrunnlag!$F$28,IF(A14=[1]Tallgrunnlag!$A$29,[1]Tallgrunnlag!$F$29,)))))))))))))))))))))))</f>
        <v>0</v>
      </c>
      <c r="H14" s="20" t="str">
        <f>IF(A14=[1]Tallgrunnlag!$A$22,[1]Tallgrunnlag!$C$22/3-E39-E40-E41-E42,"")</f>
        <v/>
      </c>
      <c r="I14" s="20" t="str">
        <f>IF(A14="","",IF(A14=[1]Tallgrunnlag!$A$22,H14,IF(C14=[1]Tallgrunnlag!$B$92,((E14+F14+G14)*5),IF(C14=[1]Tallgrunnlag!$B$93,((E14+F14+G14)*4),E14+F14+G14))))</f>
        <v/>
      </c>
      <c r="J14" s="20" t="str">
        <f t="shared" si="0"/>
        <v/>
      </c>
      <c r="K14" s="21" t="str">
        <f>IF(A14="","",IF(A14=[1]Tallgrunnlag!$A$22,J14/D14,J14/D14))</f>
        <v/>
      </c>
      <c r="M14" s="35" t="s">
        <v>48</v>
      </c>
      <c r="N14" s="36">
        <f>IF(M14="","",IF(M14=[1]Tallgrunnlag!$A$58,[1]Tallgrunnlag!$B$58*$M$1,IF(M14=[1]Tallgrunnlag!$A$59,[1]Tallgrunnlag!$B$59*$M$1,IF(M14=[1]Tallgrunnlag!$A$60,[1]Tallgrunnlag!$B$60*$M$1,IF(M14=[1]Tallgrunnlag!$A$61,[1]Tallgrunnlag!$B$61*$M$1,IF(M14=[1]Tallgrunnlag!$A$62,[1]Tallgrunnlag!$B$62*$M$1,IF(M14=[1]Tallgrunnlag!$A$63,[1]Tallgrunnlag!$B$63*$M$1,IF(M14=[1]Tallgrunnlag!$A$64,[1]Tallgrunnlag!$B$64*$M$1,IF(M14=[1]Tallgrunnlag!$A$65,[1]Tallgrunnlag!$B$65*$M$1,IF(M14=[1]Tallgrunnlag!$A$66,[1]Tallgrunnlag!$B$66*$M$1,IF(M14=[1]Tallgrunnlag!$A$67,[1]Tallgrunnlag!$B$67*$M$1,IF(M14=[1]Tallgrunnlag!$A$68,[1]Tallgrunnlag!$B$68*$M$1,IF(M14=[1]Tallgrunnlag!$A$69,[1]Tallgrunnlag!$B$69*$M$1,IF(M14=[1]Tallgrunnlag!$A$70,[1]Tallgrunnlag!$B$70*$M$1,IF(M14=[1]Tallgrunnlag!$A$71,[1]Tallgrunnlag!$B$71*$M$1,IF(M14=[1]Tallgrunnlag!$A$72,[1]Tallgrunnlag!$B$72*$M$1,IF(M14=[1]Tallgrunnlag!$A$73,[1]Tallgrunnlag!$B$73*$M$1,IF(M14=[1]Tallgrunnlag!$A$74,[1]Tallgrunnlag!$B$74*$M$1,IF(M14=[1]Tallgrunnlag!$A$75,[1]Tallgrunnlag!$B$75*$M$1,IF(M14=[1]Tallgrunnlag!$A$76,[1]Tallgrunnlag!$B$76*$M$1,IF(M14=[1]Tallgrunnlag!$A$77,[1]Tallgrunnlag!$B$77*$M$1,IF(M14=[1]Tallgrunnlag!$A$78,[1]Tallgrunnlag!$B$78*$M$1,IF(M14=[1]Tallgrunnlag!$A$79,[1]Tallgrunnlag!$B$79*$M$1,IF(M14=[1]Tallgrunnlag!$A$82,[1]Tallgrunnlag!$B$82*$M$1))))))))))))))))))))))))</f>
        <v>38</v>
      </c>
      <c r="O14" s="37">
        <f>IF(M14="","",N14/38)</f>
        <v>1</v>
      </c>
    </row>
    <row r="15" spans="1:20" x14ac:dyDescent="0.25">
      <c r="A15" s="18"/>
      <c r="B15" s="18"/>
      <c r="C15" s="18"/>
      <c r="D15" s="19">
        <f>IF(A15=[1]Tallgrunnlag!$A$3,[1]Tallgrunnlag!$B$3,IF(A15=[1]Tallgrunnlag!$A$4,[1]Tallgrunnlag!$B$4,IF(A15=[1]Tallgrunnlag!$A$5,[1]Tallgrunnlag!$B$5,IF(A15=[1]Tallgrunnlag!$A$6,[1]Tallgrunnlag!$B$6,IF(A15=[1]Tallgrunnlag!$A$7,[1]Tallgrunnlag!$B$7)))))+IF(A15=[1]Tallgrunnlag!$A$8,[1]Tallgrunnlag!$B$8,IF(A15=[1]Tallgrunnlag!$A$9,[1]Tallgrunnlag!$B$9,IF(A15=[1]Tallgrunnlag!$A$10,[1]Tallgrunnlag!$B$10,IF(A15=[1]Tallgrunnlag!$A$11,[1]Tallgrunnlag!$B$11,IF(A15=[1]Tallgrunnlag!$A$12,[1]Tallgrunnlag!$B$12,IF(A15=[1]Tallgrunnlag!$A$13,[1]Tallgrunnlag!$B$13,IF(A15=[1]Tallgrunnlag!$A$14,[1]Tallgrunnlag!$B$14,IF(A15=[1]Tallgrunnlag!$A$15,[1]Tallgrunnlag!$B$15,IF(A15=[1]Tallgrunnlag!$A$16,[1]Tallgrunnlag!$B$16,IF(A15=[1]Tallgrunnlag!$A$17,[1]Tallgrunnlag!$B$17,IF(A15=[1]Tallgrunnlag!$A$18,[1]Tallgrunnlag!$B$18,IF(A15=[1]Tallgrunnlag!$A$19,[1]Tallgrunnlag!$B$19,IF(A15=[1]Tallgrunnlag!$A$20,[1]Tallgrunnlag!$B$20,IF(A15=[1]Tallgrunnlag!$A$21,[1]Tallgrunnlag!$B$21,IF(A15=[1]Tallgrunnlag!$A$22,[1]Tallgrunnlag!$B$22,IF(A15=[1]Tallgrunnlag!$A$23,[1]Tallgrunnlag!$B$23,IF(A15=[1]Tallgrunnlag!$A$24,[1]Tallgrunnlag!$B$24,IF(A15=[1]Tallgrunnlag!$A$25,[1]Tallgrunnlag!$B$25,IF(A15=[1]Tallgrunnlag!$A$26,[1]Tallgrunnlag!$B$26,IF(A15=[1]Tallgrunnlag!$A$27,[1]Tallgrunnlag!$B$27,IF(A15=[1]Tallgrunnlag!$A$28,[1]Tallgrunnlag!$B$28,IF(A15=[1]Tallgrunnlag!$A$29,[1]Tallgrunnlag!$B$29,))))))))))))))))))))))</f>
        <v>0</v>
      </c>
      <c r="E15" s="20" t="b">
        <f>IF(B15=8,IF(A15=[1]Tallgrunnlag!$A$3,[1]Tallgrunnlag!$D$3,IF(A15=[1]Tallgrunnlag!$A$4,[1]Tallgrunnlag!$D$4,IF(A15=[1]Tallgrunnlag!$A$5,[1]Tallgrunnlag!$D$5,IF(A15=[1]Tallgrunnlag!$A$6,[1]Tallgrunnlag!$D$6,IF(A15=[1]Tallgrunnlag!$A$7,[1]Tallgrunnlag!$D$7)))))+IF(A15=[1]Tallgrunnlag!$A$8,[1]Tallgrunnlag!$D$8,IF(A15=[1]Tallgrunnlag!$A$9,[1]Tallgrunnlag!$D$9,IF(A15=[1]Tallgrunnlag!$A$10,[1]Tallgrunnlag!$D$10,IF(A15=[1]Tallgrunnlag!$A$11,[1]Tallgrunnlag!$D$11,IF(A15=[1]Tallgrunnlag!$A$12,[1]Tallgrunnlag!$D$12,IF(A15=[1]Tallgrunnlag!$A$13,[1]Tallgrunnlag!$D$13,IF(A15=[1]Tallgrunnlag!$A$14,[1]Tallgrunnlag!$D$14,IF(A15=[1]Tallgrunnlag!$A$15,[1]Tallgrunnlag!$D$15,IF(A15=[1]Tallgrunnlag!$A$16,[1]Tallgrunnlag!$D$16,IF(A15=[1]Tallgrunnlag!$A$17,[1]Tallgrunnlag!$D$17,IF(A15=[1]Tallgrunnlag!$A$18,[1]Tallgrunnlag!$D$18,IF(A15=[1]Tallgrunnlag!$A$19,[1]Tallgrunnlag!$D$19,IF(A15=[1]Tallgrunnlag!$A$20,[1]Tallgrunnlag!$D$20,IF(A15=[1]Tallgrunnlag!$A$21,[1]Tallgrunnlag!$D$21,IF(A15=[1]Tallgrunnlag!$A$22,[1]Tallgrunnlag!$D$22,IF(A15=[1]Tallgrunnlag!$A$23,[1]Tallgrunnlag!$D$23,IF(A15=[1]Tallgrunnlag!$A$24,[1]Tallgrunnlag!$D$24,IF(A15=[1]Tallgrunnlag!$A$25,[1]Tallgrunnlag!$D$25,IF(A15=[1]Tallgrunnlag!$A$26,[1]Tallgrunnlag!$D$26,IF(A15=[1]Tallgrunnlag!$A$27,[1]Tallgrunnlag!$D$27,IF(A15=[1]Tallgrunnlag!$A$28,[1]Tallgrunnlag!$D$28,IF(A15=[1]Tallgrunnlag!$A$29,[1]Tallgrunnlag!$D$29,)))))))))))))))))))))))</f>
        <v>0</v>
      </c>
      <c r="F15" s="20" t="b">
        <f>IF(B15=9,IF(A15=[1]Tallgrunnlag!$A$3,[1]Tallgrunnlag!$E$3,IF(A15=[1]Tallgrunnlag!$A$4,[1]Tallgrunnlag!$E$4,IF(A15=[1]Tallgrunnlag!$A$5,[1]Tallgrunnlag!$E$5,IF(A15=[1]Tallgrunnlag!$A$6,[1]Tallgrunnlag!$E$6,IF(A15=[1]Tallgrunnlag!$A$7,[1]Tallgrunnlag!$E$7)))))+IF(A15=[1]Tallgrunnlag!$A$8,[1]Tallgrunnlag!$E$8,IF(A15=[1]Tallgrunnlag!$A$9,[1]Tallgrunnlag!$E$9,IF(A15=[1]Tallgrunnlag!$A$10,[1]Tallgrunnlag!$E$10,IF(A15=[1]Tallgrunnlag!$A$11,[1]Tallgrunnlag!$E$11,IF(A15=[1]Tallgrunnlag!$A$12,[1]Tallgrunnlag!$E$12,IF(A15=[1]Tallgrunnlag!$A$13,[1]Tallgrunnlag!$E$13,IF(A15=[1]Tallgrunnlag!$A$14,[1]Tallgrunnlag!$E$14,IF(A15=[1]Tallgrunnlag!$A$15,[1]Tallgrunnlag!$E$15,IF(A15=[1]Tallgrunnlag!$A$16,[1]Tallgrunnlag!$E$16,IF(A15=[1]Tallgrunnlag!$A$17,[1]Tallgrunnlag!$E$17,IF(A15=[1]Tallgrunnlag!$A$18,[1]Tallgrunnlag!$E$18,IF(A15=[1]Tallgrunnlag!$A$19,[1]Tallgrunnlag!$E$19,IF(A15=[1]Tallgrunnlag!$A$20,[1]Tallgrunnlag!$E$20,IF(A15=[1]Tallgrunnlag!$A$21,[1]Tallgrunnlag!$E$21,IF(A15=[1]Tallgrunnlag!$A$22,[1]Tallgrunnlag!$E$22,IF(A15=[1]Tallgrunnlag!$A$23,[1]Tallgrunnlag!$E$23,IF(A15=[1]Tallgrunnlag!$A$24,[1]Tallgrunnlag!$E$24,IF(A15=[1]Tallgrunnlag!$A$25,[1]Tallgrunnlag!$E$25,IF(A15=[1]Tallgrunnlag!$A$26,[1]Tallgrunnlag!$E$26,IF(A15=[1]Tallgrunnlag!$A$27,[1]Tallgrunnlag!$E$27,IF(A15=[1]Tallgrunnlag!$A$28,[1]Tallgrunnlag!$E$28,IF(A15=[1]Tallgrunnlag!$A$29,[1]Tallgrunnlag!$E$29,)))))))))))))))))))))))</f>
        <v>0</v>
      </c>
      <c r="G15" s="20" t="b">
        <f>IF(B15=10,IF(A15=[1]Tallgrunnlag!$A$3,[1]Tallgrunnlag!$F$3,IF(A15=[1]Tallgrunnlag!$A$4,[1]Tallgrunnlag!$F$4,IF(A15=[1]Tallgrunnlag!$A$5,[1]Tallgrunnlag!$F$5,IF(A15=[1]Tallgrunnlag!$A$6,[1]Tallgrunnlag!$F$6,IF(A15=[1]Tallgrunnlag!$A$7,[1]Tallgrunnlag!$F$7)))))+IF(A15=[1]Tallgrunnlag!$A$8,[1]Tallgrunnlag!$F$8,IF(A15=[1]Tallgrunnlag!$A$9,[1]Tallgrunnlag!$F$9,IF(A15=[1]Tallgrunnlag!$A$10,[1]Tallgrunnlag!$F$10,IF(A15=[1]Tallgrunnlag!$A$11,[1]Tallgrunnlag!$F$11,IF(A15=[1]Tallgrunnlag!$A$12,[1]Tallgrunnlag!$F$12,IF(A15=[1]Tallgrunnlag!$A$13,[1]Tallgrunnlag!$F$13,IF(A15=[1]Tallgrunnlag!$A$14,[1]Tallgrunnlag!$F$14,IF(A15=[1]Tallgrunnlag!$A$15,[1]Tallgrunnlag!$F$15,IF(A15=[1]Tallgrunnlag!$A$16,[1]Tallgrunnlag!$F$16,IF(A15=[1]Tallgrunnlag!$A$17,[1]Tallgrunnlag!$F$17,IF(A15=[1]Tallgrunnlag!$A$18,[1]Tallgrunnlag!$F$18,IF(A15=[1]Tallgrunnlag!$A$19,[1]Tallgrunnlag!$F$19,IF(A15=[1]Tallgrunnlag!$A$20,[1]Tallgrunnlag!$F$20,IF(A15=[1]Tallgrunnlag!$A$21,[1]Tallgrunnlag!$F$21,IF(A15=[1]Tallgrunnlag!$A$22,[1]Tallgrunnlag!$F$22,IF(A15=[1]Tallgrunnlag!$A$23,[1]Tallgrunnlag!$F$23,IF(A15=[1]Tallgrunnlag!$A$24,[1]Tallgrunnlag!$F$24,IF(A15=[1]Tallgrunnlag!$A$25,[1]Tallgrunnlag!$F$25,IF(A15=[1]Tallgrunnlag!$A$26,[1]Tallgrunnlag!$F$26,IF(A15=[1]Tallgrunnlag!$A$27,[1]Tallgrunnlag!$F$27,IF(A15=[1]Tallgrunnlag!$A$28,[1]Tallgrunnlag!$F$28,IF(A15=[1]Tallgrunnlag!$A$29,[1]Tallgrunnlag!$F$29,)))))))))))))))))))))))</f>
        <v>0</v>
      </c>
      <c r="H15" s="20" t="str">
        <f>IF(A15=[1]Tallgrunnlag!$A$22,[1]Tallgrunnlag!$C$22/3-E40-E41-E42-E43,"")</f>
        <v/>
      </c>
      <c r="I15" s="20" t="str">
        <f>IF(A15="","",IF(A15=[1]Tallgrunnlag!$A$22,H15,IF(C15=[1]Tallgrunnlag!$B$92,((E15+F15+G15)*5),IF(C15=[1]Tallgrunnlag!$B$93,((E15+F15+G15)*4),E15+F15+G15))))</f>
        <v/>
      </c>
      <c r="J15" s="20" t="str">
        <f t="shared" si="0"/>
        <v/>
      </c>
      <c r="K15" s="21" t="str">
        <f>IF(A15="","",IF(A15=[1]Tallgrunnlag!$A$22,J15/D15,J15/D15))</f>
        <v/>
      </c>
      <c r="M15" s="35" t="s">
        <v>49</v>
      </c>
      <c r="N15" s="36">
        <f>IF(M15="","",IF(M15=[1]Tallgrunnlag!$A$58,[1]Tallgrunnlag!$B$58*$M$1,IF(M15=[1]Tallgrunnlag!$A$59,[1]Tallgrunnlag!$B$59*$M$1,IF(M15=[1]Tallgrunnlag!$A$60,[1]Tallgrunnlag!$B$60*$M$1,IF(M15=[1]Tallgrunnlag!$A$61,[1]Tallgrunnlag!$B$61*$M$1,IF(M15=[1]Tallgrunnlag!$A$62,[1]Tallgrunnlag!$B$62*$M$1,IF(M15=[1]Tallgrunnlag!$A$63,[1]Tallgrunnlag!$B$63*$M$1,IF(M15=[1]Tallgrunnlag!$A$64,[1]Tallgrunnlag!$B$64*$M$1,IF(M15=[1]Tallgrunnlag!$A$65,[1]Tallgrunnlag!$B$65*$M$1,IF(M15=[1]Tallgrunnlag!$A$66,[1]Tallgrunnlag!$B$66*$M$1,IF(M15=[1]Tallgrunnlag!$A$67,[1]Tallgrunnlag!$B$67*$M$1,IF(M15=[1]Tallgrunnlag!$A$68,[1]Tallgrunnlag!$B$68*$M$1,IF(M15=[1]Tallgrunnlag!$A$69,[1]Tallgrunnlag!$B$69*$M$1,IF(M15=[1]Tallgrunnlag!$A$70,[1]Tallgrunnlag!$B$70*$M$1,IF(M15=[1]Tallgrunnlag!$A$71,[1]Tallgrunnlag!$B$71*$M$1,IF(M15=[1]Tallgrunnlag!$A$72,[1]Tallgrunnlag!$B$72*$M$1,IF(M15=[1]Tallgrunnlag!$A$73,[1]Tallgrunnlag!$B$73*$M$1,IF(M15=[1]Tallgrunnlag!$A$74,[1]Tallgrunnlag!$B$74*$M$1,IF(M15=[1]Tallgrunnlag!$A$75,[1]Tallgrunnlag!$B$75*$M$1,IF(M15=[1]Tallgrunnlag!$A$76,[1]Tallgrunnlag!$B$76*$M$1,IF(M15=[1]Tallgrunnlag!$A$77,[1]Tallgrunnlag!$B$77*$M$1,IF(M15=[1]Tallgrunnlag!$A$78,[1]Tallgrunnlag!$B$78*$M$1,IF(M15=[1]Tallgrunnlag!$A$79,[1]Tallgrunnlag!$B$79*$M$1,IF(M15=[1]Tallgrunnlag!$A$82,[1]Tallgrunnlag!$B$82*$M$1))))))))))))))))))))))))</f>
        <v>76</v>
      </c>
      <c r="O15" s="37">
        <f t="shared" ref="O15:O30" si="2">IF(M15="","",N15/38)</f>
        <v>2</v>
      </c>
    </row>
    <row r="16" spans="1:20" x14ac:dyDescent="0.25">
      <c r="A16" s="18"/>
      <c r="B16" s="18"/>
      <c r="C16" s="18"/>
      <c r="D16" s="19">
        <f>IF(A16=[1]Tallgrunnlag!$A$3,[1]Tallgrunnlag!$B$3,IF(A16=[1]Tallgrunnlag!$A$4,[1]Tallgrunnlag!$B$4,IF(A16=[1]Tallgrunnlag!$A$5,[1]Tallgrunnlag!$B$5,IF(A16=[1]Tallgrunnlag!$A$6,[1]Tallgrunnlag!$B$6,IF(A16=[1]Tallgrunnlag!$A$7,[1]Tallgrunnlag!$B$7)))))+IF(A16=[1]Tallgrunnlag!$A$8,[1]Tallgrunnlag!$B$8,IF(A16=[1]Tallgrunnlag!$A$9,[1]Tallgrunnlag!$B$9,IF(A16=[1]Tallgrunnlag!$A$10,[1]Tallgrunnlag!$B$10,IF(A16=[1]Tallgrunnlag!$A$11,[1]Tallgrunnlag!$B$11,IF(A16=[1]Tallgrunnlag!$A$12,[1]Tallgrunnlag!$B$12,IF(A16=[1]Tallgrunnlag!$A$13,[1]Tallgrunnlag!$B$13,IF(A16=[1]Tallgrunnlag!$A$14,[1]Tallgrunnlag!$B$14,IF(A16=[1]Tallgrunnlag!$A$15,[1]Tallgrunnlag!$B$15,IF(A16=[1]Tallgrunnlag!$A$16,[1]Tallgrunnlag!$B$16,IF(A16=[1]Tallgrunnlag!$A$17,[1]Tallgrunnlag!$B$17,IF(A16=[1]Tallgrunnlag!$A$18,[1]Tallgrunnlag!$B$18,IF(A16=[1]Tallgrunnlag!$A$19,[1]Tallgrunnlag!$B$19,IF(A16=[1]Tallgrunnlag!$A$20,[1]Tallgrunnlag!$B$20,IF(A16=[1]Tallgrunnlag!$A$21,[1]Tallgrunnlag!$B$21,IF(A16=[1]Tallgrunnlag!$A$22,[1]Tallgrunnlag!$B$22,IF(A16=[1]Tallgrunnlag!$A$23,[1]Tallgrunnlag!$B$23,IF(A16=[1]Tallgrunnlag!$A$24,[1]Tallgrunnlag!$B$24,IF(A16=[1]Tallgrunnlag!$A$25,[1]Tallgrunnlag!$B$25,IF(A16=[1]Tallgrunnlag!$A$26,[1]Tallgrunnlag!$B$26,IF(A16=[1]Tallgrunnlag!$A$27,[1]Tallgrunnlag!$B$27,IF(A16=[1]Tallgrunnlag!$A$28,[1]Tallgrunnlag!$B$28,IF(A16=[1]Tallgrunnlag!$A$29,[1]Tallgrunnlag!$B$29,))))))))))))))))))))))</f>
        <v>0</v>
      </c>
      <c r="E16" s="20" t="b">
        <f>IF(B16=8,IF(A16=[1]Tallgrunnlag!$A$3,[1]Tallgrunnlag!$D$3,IF(A16=[1]Tallgrunnlag!$A$4,[1]Tallgrunnlag!$D$4,IF(A16=[1]Tallgrunnlag!$A$5,[1]Tallgrunnlag!$D$5,IF(A16=[1]Tallgrunnlag!$A$6,[1]Tallgrunnlag!$D$6,IF(A16=[1]Tallgrunnlag!$A$7,[1]Tallgrunnlag!$D$7)))))+IF(A16=[1]Tallgrunnlag!$A$8,[1]Tallgrunnlag!$D$8,IF(A16=[1]Tallgrunnlag!$A$9,[1]Tallgrunnlag!$D$9,IF(A16=[1]Tallgrunnlag!$A$10,[1]Tallgrunnlag!$D$10,IF(A16=[1]Tallgrunnlag!$A$11,[1]Tallgrunnlag!$D$11,IF(A16=[1]Tallgrunnlag!$A$12,[1]Tallgrunnlag!$D$12,IF(A16=[1]Tallgrunnlag!$A$13,[1]Tallgrunnlag!$D$13,IF(A16=[1]Tallgrunnlag!$A$14,[1]Tallgrunnlag!$D$14,IF(A16=[1]Tallgrunnlag!$A$15,[1]Tallgrunnlag!$D$15,IF(A16=[1]Tallgrunnlag!$A$16,[1]Tallgrunnlag!$D$16,IF(A16=[1]Tallgrunnlag!$A$17,[1]Tallgrunnlag!$D$17,IF(A16=[1]Tallgrunnlag!$A$18,[1]Tallgrunnlag!$D$18,IF(A16=[1]Tallgrunnlag!$A$19,[1]Tallgrunnlag!$D$19,IF(A16=[1]Tallgrunnlag!$A$20,[1]Tallgrunnlag!$D$20,IF(A16=[1]Tallgrunnlag!$A$21,[1]Tallgrunnlag!$D$21,IF(A16=[1]Tallgrunnlag!$A$22,[1]Tallgrunnlag!$D$22,IF(A16=[1]Tallgrunnlag!$A$23,[1]Tallgrunnlag!$D$23,IF(A16=[1]Tallgrunnlag!$A$24,[1]Tallgrunnlag!$D$24,IF(A16=[1]Tallgrunnlag!$A$25,[1]Tallgrunnlag!$D$25,IF(A16=[1]Tallgrunnlag!$A$26,[1]Tallgrunnlag!$D$26,IF(A16=[1]Tallgrunnlag!$A$27,[1]Tallgrunnlag!$D$27,IF(A16=[1]Tallgrunnlag!$A$28,[1]Tallgrunnlag!$D$28,IF(A16=[1]Tallgrunnlag!$A$29,[1]Tallgrunnlag!$D$29,)))))))))))))))))))))))</f>
        <v>0</v>
      </c>
      <c r="F16" s="20" t="b">
        <f>IF(B16=9,IF(A16=[1]Tallgrunnlag!$A$3,[1]Tallgrunnlag!$E$3,IF(A16=[1]Tallgrunnlag!$A$4,[1]Tallgrunnlag!$E$4,IF(A16=[1]Tallgrunnlag!$A$5,[1]Tallgrunnlag!$E$5,IF(A16=[1]Tallgrunnlag!$A$6,[1]Tallgrunnlag!$E$6,IF(A16=[1]Tallgrunnlag!$A$7,[1]Tallgrunnlag!$E$7)))))+IF(A16=[1]Tallgrunnlag!$A$8,[1]Tallgrunnlag!$E$8,IF(A16=[1]Tallgrunnlag!$A$9,[1]Tallgrunnlag!$E$9,IF(A16=[1]Tallgrunnlag!$A$10,[1]Tallgrunnlag!$E$10,IF(A16=[1]Tallgrunnlag!$A$11,[1]Tallgrunnlag!$E$11,IF(A16=[1]Tallgrunnlag!$A$12,[1]Tallgrunnlag!$E$12,IF(A16=[1]Tallgrunnlag!$A$13,[1]Tallgrunnlag!$E$13,IF(A16=[1]Tallgrunnlag!$A$14,[1]Tallgrunnlag!$E$14,IF(A16=[1]Tallgrunnlag!$A$15,[1]Tallgrunnlag!$E$15,IF(A16=[1]Tallgrunnlag!$A$16,[1]Tallgrunnlag!$E$16,IF(A16=[1]Tallgrunnlag!$A$17,[1]Tallgrunnlag!$E$17,IF(A16=[1]Tallgrunnlag!$A$18,[1]Tallgrunnlag!$E$18,IF(A16=[1]Tallgrunnlag!$A$19,[1]Tallgrunnlag!$E$19,IF(A16=[1]Tallgrunnlag!$A$20,[1]Tallgrunnlag!$E$20,IF(A16=[1]Tallgrunnlag!$A$21,[1]Tallgrunnlag!$E$21,IF(A16=[1]Tallgrunnlag!$A$22,[1]Tallgrunnlag!$E$22,IF(A16=[1]Tallgrunnlag!$A$23,[1]Tallgrunnlag!$E$23,IF(A16=[1]Tallgrunnlag!$A$24,[1]Tallgrunnlag!$E$24,IF(A16=[1]Tallgrunnlag!$A$25,[1]Tallgrunnlag!$E$25,IF(A16=[1]Tallgrunnlag!$A$26,[1]Tallgrunnlag!$E$26,IF(A16=[1]Tallgrunnlag!$A$27,[1]Tallgrunnlag!$E$27,IF(A16=[1]Tallgrunnlag!$A$28,[1]Tallgrunnlag!$E$28,IF(A16=[1]Tallgrunnlag!$A$29,[1]Tallgrunnlag!$E$29,)))))))))))))))))))))))</f>
        <v>0</v>
      </c>
      <c r="G16" s="20" t="b">
        <f>IF(B16=10,IF(A16=[1]Tallgrunnlag!$A$3,[1]Tallgrunnlag!$F$3,IF(A16=[1]Tallgrunnlag!$A$4,[1]Tallgrunnlag!$F$4,IF(A16=[1]Tallgrunnlag!$A$5,[1]Tallgrunnlag!$F$5,IF(A16=[1]Tallgrunnlag!$A$6,[1]Tallgrunnlag!$F$6,IF(A16=[1]Tallgrunnlag!$A$7,[1]Tallgrunnlag!$F$7)))))+IF(A16=[1]Tallgrunnlag!$A$8,[1]Tallgrunnlag!$F$8,IF(A16=[1]Tallgrunnlag!$A$9,[1]Tallgrunnlag!$F$9,IF(A16=[1]Tallgrunnlag!$A$10,[1]Tallgrunnlag!$F$10,IF(A16=[1]Tallgrunnlag!$A$11,[1]Tallgrunnlag!$F$11,IF(A16=[1]Tallgrunnlag!$A$12,[1]Tallgrunnlag!$F$12,IF(A16=[1]Tallgrunnlag!$A$13,[1]Tallgrunnlag!$F$13,IF(A16=[1]Tallgrunnlag!$A$14,[1]Tallgrunnlag!$F$14,IF(A16=[1]Tallgrunnlag!$A$15,[1]Tallgrunnlag!$F$15,IF(A16=[1]Tallgrunnlag!$A$16,[1]Tallgrunnlag!$F$16,IF(A16=[1]Tallgrunnlag!$A$17,[1]Tallgrunnlag!$F$17,IF(A16=[1]Tallgrunnlag!$A$18,[1]Tallgrunnlag!$F$18,IF(A16=[1]Tallgrunnlag!$A$19,[1]Tallgrunnlag!$F$19,IF(A16=[1]Tallgrunnlag!$A$20,[1]Tallgrunnlag!$F$20,IF(A16=[1]Tallgrunnlag!$A$21,[1]Tallgrunnlag!$F$21,IF(A16=[1]Tallgrunnlag!$A$22,[1]Tallgrunnlag!$F$22,IF(A16=[1]Tallgrunnlag!$A$23,[1]Tallgrunnlag!$F$23,IF(A16=[1]Tallgrunnlag!$A$24,[1]Tallgrunnlag!$F$24,IF(A16=[1]Tallgrunnlag!$A$25,[1]Tallgrunnlag!$F$25,IF(A16=[1]Tallgrunnlag!$A$26,[1]Tallgrunnlag!$F$26,IF(A16=[1]Tallgrunnlag!$A$27,[1]Tallgrunnlag!$F$27,IF(A16=[1]Tallgrunnlag!$A$28,[1]Tallgrunnlag!$F$28,IF(A16=[1]Tallgrunnlag!$A$29,[1]Tallgrunnlag!$F$29,)))))))))))))))))))))))</f>
        <v>0</v>
      </c>
      <c r="H16" s="20" t="str">
        <f>IF(A16=[1]Tallgrunnlag!$A$22,[1]Tallgrunnlag!$C$22/3-E41-E42-E43-E44,"")</f>
        <v/>
      </c>
      <c r="I16" s="20" t="str">
        <f>IF(A16="","",IF(A16=[1]Tallgrunnlag!$A$22,H16,IF(C16=[1]Tallgrunnlag!$B$92,((E16+F16+G16)*5),IF(C16=[1]Tallgrunnlag!$B$93,((E16+F16+G16)*4),E16+F16+G16))))</f>
        <v/>
      </c>
      <c r="J16" s="20" t="str">
        <f t="shared" si="0"/>
        <v/>
      </c>
      <c r="K16" s="21" t="str">
        <f>IF(A16="","",IF(A16=[1]Tallgrunnlag!$A$22,J16/D16,J16/D16))</f>
        <v/>
      </c>
      <c r="M16" s="35" t="s">
        <v>50</v>
      </c>
      <c r="N16" s="36">
        <f>IF(M16="","",IF(M16=[1]Tallgrunnlag!$A$58,[1]Tallgrunnlag!$B$58*$M$1,IF(M16=[1]Tallgrunnlag!$A$59,[1]Tallgrunnlag!$B$59*$M$1,IF(M16=[1]Tallgrunnlag!$A$60,[1]Tallgrunnlag!$B$60*$M$1,IF(M16=[1]Tallgrunnlag!$A$61,[1]Tallgrunnlag!$B$61*$M$1,IF(M16=[1]Tallgrunnlag!$A$62,[1]Tallgrunnlag!$B$62*$M$1,IF(M16=[1]Tallgrunnlag!$A$63,[1]Tallgrunnlag!$B$63*$M$1,IF(M16=[1]Tallgrunnlag!$A$64,[1]Tallgrunnlag!$B$64*$M$1,IF(M16=[1]Tallgrunnlag!$A$65,[1]Tallgrunnlag!$B$65*$M$1,IF(M16=[1]Tallgrunnlag!$A$66,[1]Tallgrunnlag!$B$66*$M$1,IF(M16=[1]Tallgrunnlag!$A$67,[1]Tallgrunnlag!$B$67*$M$1,IF(M16=[1]Tallgrunnlag!$A$68,[1]Tallgrunnlag!$B$68*$M$1,IF(M16=[1]Tallgrunnlag!$A$69,[1]Tallgrunnlag!$B$69*$M$1,IF(M16=[1]Tallgrunnlag!$A$70,[1]Tallgrunnlag!$B$70*$M$1,IF(M16=[1]Tallgrunnlag!$A$71,[1]Tallgrunnlag!$B$71*$M$1,IF(M16=[1]Tallgrunnlag!$A$72,[1]Tallgrunnlag!$B$72*$M$1,IF(M16=[1]Tallgrunnlag!$A$73,[1]Tallgrunnlag!$B$73*$M$1,IF(M16=[1]Tallgrunnlag!$A$74,[1]Tallgrunnlag!$B$74*$M$1,IF(M16=[1]Tallgrunnlag!$A$75,[1]Tallgrunnlag!$B$75*$M$1,IF(M16=[1]Tallgrunnlag!$A$76,[1]Tallgrunnlag!$B$76*$M$1,IF(M16=[1]Tallgrunnlag!$A$77,[1]Tallgrunnlag!$B$77*$M$1,IF(M16=[1]Tallgrunnlag!$A$78,[1]Tallgrunnlag!$B$78*$M$1,IF(M16=[1]Tallgrunnlag!$A$79,[1]Tallgrunnlag!$B$79*$M$1,IF(M16=[1]Tallgrunnlag!$A$82,[1]Tallgrunnlag!$B$82*$M$1))))))))))))))))))))))))</f>
        <v>6</v>
      </c>
      <c r="O16" s="37">
        <f t="shared" si="2"/>
        <v>0.15789473684210525</v>
      </c>
    </row>
    <row r="17" spans="1:15" x14ac:dyDescent="0.25">
      <c r="A17" s="18"/>
      <c r="B17" s="18"/>
      <c r="C17" s="18"/>
      <c r="D17" s="19">
        <f>IF(A17=[1]Tallgrunnlag!$A$3,[1]Tallgrunnlag!$B$3,IF(A17=[1]Tallgrunnlag!$A$4,[1]Tallgrunnlag!$B$4,IF(A17=[1]Tallgrunnlag!$A$5,[1]Tallgrunnlag!$B$5,IF(A17=[1]Tallgrunnlag!$A$6,[1]Tallgrunnlag!$B$6,IF(A17=[1]Tallgrunnlag!$A$7,[1]Tallgrunnlag!$B$7)))))+IF(A17=[1]Tallgrunnlag!$A$8,[1]Tallgrunnlag!$B$8,IF(A17=[1]Tallgrunnlag!$A$9,[1]Tallgrunnlag!$B$9,IF(A17=[1]Tallgrunnlag!$A$10,[1]Tallgrunnlag!$B$10,IF(A17=[1]Tallgrunnlag!$A$11,[1]Tallgrunnlag!$B$11,IF(A17=[1]Tallgrunnlag!$A$12,[1]Tallgrunnlag!$B$12,IF(A17=[1]Tallgrunnlag!$A$13,[1]Tallgrunnlag!$B$13,IF(A17=[1]Tallgrunnlag!$A$14,[1]Tallgrunnlag!$B$14,IF(A17=[1]Tallgrunnlag!$A$15,[1]Tallgrunnlag!$B$15,IF(A17=[1]Tallgrunnlag!$A$16,[1]Tallgrunnlag!$B$16,IF(A17=[1]Tallgrunnlag!$A$17,[1]Tallgrunnlag!$B$17,IF(A17=[1]Tallgrunnlag!$A$18,[1]Tallgrunnlag!$B$18,IF(A17=[1]Tallgrunnlag!$A$19,[1]Tallgrunnlag!$B$19,IF(A17=[1]Tallgrunnlag!$A$20,[1]Tallgrunnlag!$B$20,IF(A17=[1]Tallgrunnlag!$A$21,[1]Tallgrunnlag!$B$21,IF(A17=[1]Tallgrunnlag!$A$22,[1]Tallgrunnlag!$B$22,IF(A17=[1]Tallgrunnlag!$A$23,[1]Tallgrunnlag!$B$23,IF(A17=[1]Tallgrunnlag!$A$24,[1]Tallgrunnlag!$B$24,IF(A17=[1]Tallgrunnlag!$A$25,[1]Tallgrunnlag!$B$25,IF(A17=[1]Tallgrunnlag!$A$26,[1]Tallgrunnlag!$B$26,IF(A17=[1]Tallgrunnlag!$A$27,[1]Tallgrunnlag!$B$27,IF(A17=[1]Tallgrunnlag!$A$28,[1]Tallgrunnlag!$B$28,IF(A17=[1]Tallgrunnlag!$A$29,[1]Tallgrunnlag!$B$29,))))))))))))))))))))))</f>
        <v>0</v>
      </c>
      <c r="E17" s="20" t="b">
        <f>IF(B17=8,IF(A17=[1]Tallgrunnlag!$A$3,[1]Tallgrunnlag!$D$3,IF(A17=[1]Tallgrunnlag!$A$4,[1]Tallgrunnlag!$D$4,IF(A17=[1]Tallgrunnlag!$A$5,[1]Tallgrunnlag!$D$5,IF(A17=[1]Tallgrunnlag!$A$6,[1]Tallgrunnlag!$D$6,IF(A17=[1]Tallgrunnlag!$A$7,[1]Tallgrunnlag!$D$7)))))+IF(A17=[1]Tallgrunnlag!$A$8,[1]Tallgrunnlag!$D$8,IF(A17=[1]Tallgrunnlag!$A$9,[1]Tallgrunnlag!$D$9,IF(A17=[1]Tallgrunnlag!$A$10,[1]Tallgrunnlag!$D$10,IF(A17=[1]Tallgrunnlag!$A$11,[1]Tallgrunnlag!$D$11,IF(A17=[1]Tallgrunnlag!$A$12,[1]Tallgrunnlag!$D$12,IF(A17=[1]Tallgrunnlag!$A$13,[1]Tallgrunnlag!$D$13,IF(A17=[1]Tallgrunnlag!$A$14,[1]Tallgrunnlag!$D$14,IF(A17=[1]Tallgrunnlag!$A$15,[1]Tallgrunnlag!$D$15,IF(A17=[1]Tallgrunnlag!$A$16,[1]Tallgrunnlag!$D$16,IF(A17=[1]Tallgrunnlag!$A$17,[1]Tallgrunnlag!$D$17,IF(A17=[1]Tallgrunnlag!$A$18,[1]Tallgrunnlag!$D$18,IF(A17=[1]Tallgrunnlag!$A$19,[1]Tallgrunnlag!$D$19,IF(A17=[1]Tallgrunnlag!$A$20,[1]Tallgrunnlag!$D$20,IF(A17=[1]Tallgrunnlag!$A$21,[1]Tallgrunnlag!$D$21,IF(A17=[1]Tallgrunnlag!$A$22,[1]Tallgrunnlag!$D$22,IF(A17=[1]Tallgrunnlag!$A$23,[1]Tallgrunnlag!$D$23,IF(A17=[1]Tallgrunnlag!$A$24,[1]Tallgrunnlag!$D$24,IF(A17=[1]Tallgrunnlag!$A$25,[1]Tallgrunnlag!$D$25,IF(A17=[1]Tallgrunnlag!$A$26,[1]Tallgrunnlag!$D$26,IF(A17=[1]Tallgrunnlag!$A$27,[1]Tallgrunnlag!$D$27,IF(A17=[1]Tallgrunnlag!$A$28,[1]Tallgrunnlag!$D$28,IF(A17=[1]Tallgrunnlag!$A$29,[1]Tallgrunnlag!$D$29,)))))))))))))))))))))))</f>
        <v>0</v>
      </c>
      <c r="F17" s="20" t="b">
        <f>IF(B17=9,IF(A17=[1]Tallgrunnlag!$A$3,[1]Tallgrunnlag!$E$3,IF(A17=[1]Tallgrunnlag!$A$4,[1]Tallgrunnlag!$E$4,IF(A17=[1]Tallgrunnlag!$A$5,[1]Tallgrunnlag!$E$5,IF(A17=[1]Tallgrunnlag!$A$6,[1]Tallgrunnlag!$E$6,IF(A17=[1]Tallgrunnlag!$A$7,[1]Tallgrunnlag!$E$7)))))+IF(A17=[1]Tallgrunnlag!$A$8,[1]Tallgrunnlag!$E$8,IF(A17=[1]Tallgrunnlag!$A$9,[1]Tallgrunnlag!$E$9,IF(A17=[1]Tallgrunnlag!$A$10,[1]Tallgrunnlag!$E$10,IF(A17=[1]Tallgrunnlag!$A$11,[1]Tallgrunnlag!$E$11,IF(A17=[1]Tallgrunnlag!$A$12,[1]Tallgrunnlag!$E$12,IF(A17=[1]Tallgrunnlag!$A$13,[1]Tallgrunnlag!$E$13,IF(A17=[1]Tallgrunnlag!$A$14,[1]Tallgrunnlag!$E$14,IF(A17=[1]Tallgrunnlag!$A$15,[1]Tallgrunnlag!$E$15,IF(A17=[1]Tallgrunnlag!$A$16,[1]Tallgrunnlag!$E$16,IF(A17=[1]Tallgrunnlag!$A$17,[1]Tallgrunnlag!$E$17,IF(A17=[1]Tallgrunnlag!$A$18,[1]Tallgrunnlag!$E$18,IF(A17=[1]Tallgrunnlag!$A$19,[1]Tallgrunnlag!$E$19,IF(A17=[1]Tallgrunnlag!$A$20,[1]Tallgrunnlag!$E$20,IF(A17=[1]Tallgrunnlag!$A$21,[1]Tallgrunnlag!$E$21,IF(A17=[1]Tallgrunnlag!$A$22,[1]Tallgrunnlag!$E$22,IF(A17=[1]Tallgrunnlag!$A$23,[1]Tallgrunnlag!$E$23,IF(A17=[1]Tallgrunnlag!$A$24,[1]Tallgrunnlag!$E$24,IF(A17=[1]Tallgrunnlag!$A$25,[1]Tallgrunnlag!$E$25,IF(A17=[1]Tallgrunnlag!$A$26,[1]Tallgrunnlag!$E$26,IF(A17=[1]Tallgrunnlag!$A$27,[1]Tallgrunnlag!$E$27,IF(A17=[1]Tallgrunnlag!$A$28,[1]Tallgrunnlag!$E$28,IF(A17=[1]Tallgrunnlag!$A$29,[1]Tallgrunnlag!$E$29,)))))))))))))))))))))))</f>
        <v>0</v>
      </c>
      <c r="G17" s="20" t="b">
        <f>IF(B17=10,IF(A17=[1]Tallgrunnlag!$A$3,[1]Tallgrunnlag!$F$3,IF(A17=[1]Tallgrunnlag!$A$4,[1]Tallgrunnlag!$F$4,IF(A17=[1]Tallgrunnlag!$A$5,[1]Tallgrunnlag!$F$5,IF(A17=[1]Tallgrunnlag!$A$6,[1]Tallgrunnlag!$F$6,IF(A17=[1]Tallgrunnlag!$A$7,[1]Tallgrunnlag!$F$7)))))+IF(A17=[1]Tallgrunnlag!$A$8,[1]Tallgrunnlag!$F$8,IF(A17=[1]Tallgrunnlag!$A$9,[1]Tallgrunnlag!$F$9,IF(A17=[1]Tallgrunnlag!$A$10,[1]Tallgrunnlag!$F$10,IF(A17=[1]Tallgrunnlag!$A$11,[1]Tallgrunnlag!$F$11,IF(A17=[1]Tallgrunnlag!$A$12,[1]Tallgrunnlag!$F$12,IF(A17=[1]Tallgrunnlag!$A$13,[1]Tallgrunnlag!$F$13,IF(A17=[1]Tallgrunnlag!$A$14,[1]Tallgrunnlag!$F$14,IF(A17=[1]Tallgrunnlag!$A$15,[1]Tallgrunnlag!$F$15,IF(A17=[1]Tallgrunnlag!$A$16,[1]Tallgrunnlag!$F$16,IF(A17=[1]Tallgrunnlag!$A$17,[1]Tallgrunnlag!$F$17,IF(A17=[1]Tallgrunnlag!$A$18,[1]Tallgrunnlag!$F$18,IF(A17=[1]Tallgrunnlag!$A$19,[1]Tallgrunnlag!$F$19,IF(A17=[1]Tallgrunnlag!$A$20,[1]Tallgrunnlag!$F$20,IF(A17=[1]Tallgrunnlag!$A$21,[1]Tallgrunnlag!$F$21,IF(A17=[1]Tallgrunnlag!$A$22,[1]Tallgrunnlag!$F$22,IF(A17=[1]Tallgrunnlag!$A$23,[1]Tallgrunnlag!$F$23,IF(A17=[1]Tallgrunnlag!$A$24,[1]Tallgrunnlag!$F$24,IF(A17=[1]Tallgrunnlag!$A$25,[1]Tallgrunnlag!$F$25,IF(A17=[1]Tallgrunnlag!$A$26,[1]Tallgrunnlag!$F$26,IF(A17=[1]Tallgrunnlag!$A$27,[1]Tallgrunnlag!$F$27,IF(A17=[1]Tallgrunnlag!$A$28,[1]Tallgrunnlag!$F$28,IF(A17=[1]Tallgrunnlag!$A$29,[1]Tallgrunnlag!$F$29,)))))))))))))))))))))))</f>
        <v>0</v>
      </c>
      <c r="H17" s="20" t="str">
        <f>IF(A17=[1]Tallgrunnlag!$A$22,[1]Tallgrunnlag!$C$22/3-E40-E41-E42-E43,"")</f>
        <v/>
      </c>
      <c r="I17" s="20" t="str">
        <f>IF(A17="","",IF(A17=[1]Tallgrunnlag!$A$22,H17,IF(C17=[1]Tallgrunnlag!$B$92,((E17+F17+G17)*5),IF(C17=[1]Tallgrunnlag!$B$93,((E17+F17+G17)*4),E17+F17+G17))))</f>
        <v/>
      </c>
      <c r="J17" s="20" t="str">
        <f t="shared" si="0"/>
        <v/>
      </c>
      <c r="K17" s="21" t="str">
        <f>IF(A17="","",IF(A17=[1]Tallgrunnlag!$A$22,J17/D17,J17/D17))</f>
        <v/>
      </c>
      <c r="M17" s="35" t="s">
        <v>51</v>
      </c>
      <c r="N17" s="36">
        <f>IF(M17="","",IF(M17=[1]Tallgrunnlag!$A$58,[1]Tallgrunnlag!$B$58*$M$1,IF(M17=[1]Tallgrunnlag!$A$59,[1]Tallgrunnlag!$B$59*$M$1,IF(M17=[1]Tallgrunnlag!$A$60,[1]Tallgrunnlag!$B$60*$M$1,IF(M17=[1]Tallgrunnlag!$A$61,[1]Tallgrunnlag!$B$61*$M$1,IF(M17=[1]Tallgrunnlag!$A$62,[1]Tallgrunnlag!$B$62*$M$1,IF(M17=[1]Tallgrunnlag!$A$63,[1]Tallgrunnlag!$B$63*$M$1,IF(M17=[1]Tallgrunnlag!$A$64,[1]Tallgrunnlag!$B$64*$M$1,IF(M17=[1]Tallgrunnlag!$A$65,[1]Tallgrunnlag!$B$65*$M$1,IF(M17=[1]Tallgrunnlag!$A$66,[1]Tallgrunnlag!$B$66*$M$1,IF(M17=[1]Tallgrunnlag!$A$67,[1]Tallgrunnlag!$B$67*$M$1,IF(M17=[1]Tallgrunnlag!$A$68,[1]Tallgrunnlag!$B$68*$M$1,IF(M17=[1]Tallgrunnlag!$A$69,[1]Tallgrunnlag!$B$69*$M$1,IF(M17=[1]Tallgrunnlag!$A$70,[1]Tallgrunnlag!$B$70*$M$1,IF(M17=[1]Tallgrunnlag!$A$71,[1]Tallgrunnlag!$B$71*$M$1,IF(M17=[1]Tallgrunnlag!$A$72,[1]Tallgrunnlag!$B$72*$M$1,IF(M17=[1]Tallgrunnlag!$A$73,[1]Tallgrunnlag!$B$73*$M$1,IF(M17=[1]Tallgrunnlag!$A$74,[1]Tallgrunnlag!$B$74*$M$1,IF(M17=[1]Tallgrunnlag!$A$75,[1]Tallgrunnlag!$B$75*$M$1,IF(M17=[1]Tallgrunnlag!$A$76,[1]Tallgrunnlag!$B$76*$M$1,IF(M17=[1]Tallgrunnlag!$A$77,[1]Tallgrunnlag!$B$77*$M$1,IF(M17=[1]Tallgrunnlag!$A$78,[1]Tallgrunnlag!$B$78*$M$1,IF(M17=[1]Tallgrunnlag!$A$79,[1]Tallgrunnlag!$B$79*$M$1,IF(M17=[1]Tallgrunnlag!$A$82,[1]Tallgrunnlag!$B$82*$M$1))))))))))))))))))))))))</f>
        <v>76</v>
      </c>
      <c r="O17" s="37">
        <f t="shared" si="2"/>
        <v>2</v>
      </c>
    </row>
    <row r="18" spans="1:15" x14ac:dyDescent="0.25">
      <c r="A18" s="18"/>
      <c r="B18" s="18"/>
      <c r="C18" s="18"/>
      <c r="D18" s="19">
        <f>IF(A18=[1]Tallgrunnlag!$A$3,[1]Tallgrunnlag!$B$3,IF(A18=[1]Tallgrunnlag!$A$4,[1]Tallgrunnlag!$B$4,IF(A18=[1]Tallgrunnlag!$A$5,[1]Tallgrunnlag!$B$5,IF(A18=[1]Tallgrunnlag!$A$6,[1]Tallgrunnlag!$B$6,IF(A18=[1]Tallgrunnlag!$A$7,[1]Tallgrunnlag!$B$7)))))+IF(A18=[1]Tallgrunnlag!$A$8,[1]Tallgrunnlag!$B$8,IF(A18=[1]Tallgrunnlag!$A$9,[1]Tallgrunnlag!$B$9,IF(A18=[1]Tallgrunnlag!$A$10,[1]Tallgrunnlag!$B$10,IF(A18=[1]Tallgrunnlag!$A$11,[1]Tallgrunnlag!$B$11,IF(A18=[1]Tallgrunnlag!$A$12,[1]Tallgrunnlag!$B$12,IF(A18=[1]Tallgrunnlag!$A$13,[1]Tallgrunnlag!$B$13,IF(A18=[1]Tallgrunnlag!$A$14,[1]Tallgrunnlag!$B$14,IF(A18=[1]Tallgrunnlag!$A$15,[1]Tallgrunnlag!$B$15,IF(A18=[1]Tallgrunnlag!$A$16,[1]Tallgrunnlag!$B$16,IF(A18=[1]Tallgrunnlag!$A$17,[1]Tallgrunnlag!$B$17,IF(A18=[1]Tallgrunnlag!$A$18,[1]Tallgrunnlag!$B$18,IF(A18=[1]Tallgrunnlag!$A$19,[1]Tallgrunnlag!$B$19,IF(A18=[1]Tallgrunnlag!$A$20,[1]Tallgrunnlag!$B$20,IF(A18=[1]Tallgrunnlag!$A$21,[1]Tallgrunnlag!$B$21,IF(A18=[1]Tallgrunnlag!$A$22,[1]Tallgrunnlag!$B$22,IF(A18=[1]Tallgrunnlag!$A$23,[1]Tallgrunnlag!$B$23,IF(A18=[1]Tallgrunnlag!$A$24,[1]Tallgrunnlag!$B$24,IF(A18=[1]Tallgrunnlag!$A$25,[1]Tallgrunnlag!$B$25,IF(A18=[1]Tallgrunnlag!$A$26,[1]Tallgrunnlag!$B$26,IF(A18=[1]Tallgrunnlag!$A$27,[1]Tallgrunnlag!$B$27,IF(A18=[1]Tallgrunnlag!$A$28,[1]Tallgrunnlag!$B$28,IF(A18=[1]Tallgrunnlag!$A$29,[1]Tallgrunnlag!$B$29,))))))))))))))))))))))</f>
        <v>0</v>
      </c>
      <c r="E18" s="20" t="b">
        <f>IF(B18=8,IF(A18=[1]Tallgrunnlag!$A$3,[1]Tallgrunnlag!$D$3,IF(A18=[1]Tallgrunnlag!$A$4,[1]Tallgrunnlag!$D$4,IF(A18=[1]Tallgrunnlag!$A$5,[1]Tallgrunnlag!$D$5,IF(A18=[1]Tallgrunnlag!$A$6,[1]Tallgrunnlag!$D$6,IF(A18=[1]Tallgrunnlag!$A$7,[1]Tallgrunnlag!$D$7)))))+IF(A18=[1]Tallgrunnlag!$A$8,[1]Tallgrunnlag!$D$8,IF(A18=[1]Tallgrunnlag!$A$9,[1]Tallgrunnlag!$D$9,IF(A18=[1]Tallgrunnlag!$A$10,[1]Tallgrunnlag!$D$10,IF(A18=[1]Tallgrunnlag!$A$11,[1]Tallgrunnlag!$D$11,IF(A18=[1]Tallgrunnlag!$A$12,[1]Tallgrunnlag!$D$12,IF(A18=[1]Tallgrunnlag!$A$13,[1]Tallgrunnlag!$D$13,IF(A18=[1]Tallgrunnlag!$A$14,[1]Tallgrunnlag!$D$14,IF(A18=[1]Tallgrunnlag!$A$15,[1]Tallgrunnlag!$D$15,IF(A18=[1]Tallgrunnlag!$A$16,[1]Tallgrunnlag!$D$16,IF(A18=[1]Tallgrunnlag!$A$17,[1]Tallgrunnlag!$D$17,IF(A18=[1]Tallgrunnlag!$A$18,[1]Tallgrunnlag!$D$18,IF(A18=[1]Tallgrunnlag!$A$19,[1]Tallgrunnlag!$D$19,IF(A18=[1]Tallgrunnlag!$A$20,[1]Tallgrunnlag!$D$20,IF(A18=[1]Tallgrunnlag!$A$21,[1]Tallgrunnlag!$D$21,IF(A18=[1]Tallgrunnlag!$A$22,[1]Tallgrunnlag!$D$22,IF(A18=[1]Tallgrunnlag!$A$23,[1]Tallgrunnlag!$D$23,IF(A18=[1]Tallgrunnlag!$A$24,[1]Tallgrunnlag!$D$24,IF(A18=[1]Tallgrunnlag!$A$25,[1]Tallgrunnlag!$D$25,IF(A18=[1]Tallgrunnlag!$A$26,[1]Tallgrunnlag!$D$26,IF(A18=[1]Tallgrunnlag!$A$27,[1]Tallgrunnlag!$D$27,IF(A18=[1]Tallgrunnlag!$A$28,[1]Tallgrunnlag!$D$28,IF(A18=[1]Tallgrunnlag!$A$29,[1]Tallgrunnlag!$D$29,)))))))))))))))))))))))</f>
        <v>0</v>
      </c>
      <c r="F18" s="20" t="b">
        <f>IF(B18=9,IF(A18=[1]Tallgrunnlag!$A$3,[1]Tallgrunnlag!$E$3,IF(A18=[1]Tallgrunnlag!$A$4,[1]Tallgrunnlag!$E$4,IF(A18=[1]Tallgrunnlag!$A$5,[1]Tallgrunnlag!$E$5,IF(A18=[1]Tallgrunnlag!$A$6,[1]Tallgrunnlag!$E$6,IF(A18=[1]Tallgrunnlag!$A$7,[1]Tallgrunnlag!$E$7)))))+IF(A18=[1]Tallgrunnlag!$A$8,[1]Tallgrunnlag!$E$8,IF(A18=[1]Tallgrunnlag!$A$9,[1]Tallgrunnlag!$E$9,IF(A18=[1]Tallgrunnlag!$A$10,[1]Tallgrunnlag!$E$10,IF(A18=[1]Tallgrunnlag!$A$11,[1]Tallgrunnlag!$E$11,IF(A18=[1]Tallgrunnlag!$A$12,[1]Tallgrunnlag!$E$12,IF(A18=[1]Tallgrunnlag!$A$13,[1]Tallgrunnlag!$E$13,IF(A18=[1]Tallgrunnlag!$A$14,[1]Tallgrunnlag!$E$14,IF(A18=[1]Tallgrunnlag!$A$15,[1]Tallgrunnlag!$E$15,IF(A18=[1]Tallgrunnlag!$A$16,[1]Tallgrunnlag!$E$16,IF(A18=[1]Tallgrunnlag!$A$17,[1]Tallgrunnlag!$E$17,IF(A18=[1]Tallgrunnlag!$A$18,[1]Tallgrunnlag!$E$18,IF(A18=[1]Tallgrunnlag!$A$19,[1]Tallgrunnlag!$E$19,IF(A18=[1]Tallgrunnlag!$A$20,[1]Tallgrunnlag!$E$20,IF(A18=[1]Tallgrunnlag!$A$21,[1]Tallgrunnlag!$E$21,IF(A18=[1]Tallgrunnlag!$A$22,[1]Tallgrunnlag!$E$22,IF(A18=[1]Tallgrunnlag!$A$23,[1]Tallgrunnlag!$E$23,IF(A18=[1]Tallgrunnlag!$A$24,[1]Tallgrunnlag!$E$24,IF(A18=[1]Tallgrunnlag!$A$25,[1]Tallgrunnlag!$E$25,IF(A18=[1]Tallgrunnlag!$A$26,[1]Tallgrunnlag!$E$26,IF(A18=[1]Tallgrunnlag!$A$27,[1]Tallgrunnlag!$E$27,IF(A18=[1]Tallgrunnlag!$A$28,[1]Tallgrunnlag!$E$28,IF(A18=[1]Tallgrunnlag!$A$29,[1]Tallgrunnlag!$E$29,)))))))))))))))))))))))</f>
        <v>0</v>
      </c>
      <c r="G18" s="20" t="b">
        <f>IF(B18=10,IF(A18=[1]Tallgrunnlag!$A$3,[1]Tallgrunnlag!$F$3,IF(A18=[1]Tallgrunnlag!$A$4,[1]Tallgrunnlag!$F$4,IF(A18=[1]Tallgrunnlag!$A$5,[1]Tallgrunnlag!$F$5,IF(A18=[1]Tallgrunnlag!$A$6,[1]Tallgrunnlag!$F$6,IF(A18=[1]Tallgrunnlag!$A$7,[1]Tallgrunnlag!$F$7)))))+IF(A18=[1]Tallgrunnlag!$A$8,[1]Tallgrunnlag!$F$8,IF(A18=[1]Tallgrunnlag!$A$9,[1]Tallgrunnlag!$F$9,IF(A18=[1]Tallgrunnlag!$A$10,[1]Tallgrunnlag!$F$10,IF(A18=[1]Tallgrunnlag!$A$11,[1]Tallgrunnlag!$F$11,IF(A18=[1]Tallgrunnlag!$A$12,[1]Tallgrunnlag!$F$12,IF(A18=[1]Tallgrunnlag!$A$13,[1]Tallgrunnlag!$F$13,IF(A18=[1]Tallgrunnlag!$A$14,[1]Tallgrunnlag!$F$14,IF(A18=[1]Tallgrunnlag!$A$15,[1]Tallgrunnlag!$F$15,IF(A18=[1]Tallgrunnlag!$A$16,[1]Tallgrunnlag!$F$16,IF(A18=[1]Tallgrunnlag!$A$17,[1]Tallgrunnlag!$F$17,IF(A18=[1]Tallgrunnlag!$A$18,[1]Tallgrunnlag!$F$18,IF(A18=[1]Tallgrunnlag!$A$19,[1]Tallgrunnlag!$F$19,IF(A18=[1]Tallgrunnlag!$A$20,[1]Tallgrunnlag!$F$20,IF(A18=[1]Tallgrunnlag!$A$21,[1]Tallgrunnlag!$F$21,IF(A18=[1]Tallgrunnlag!$A$22,[1]Tallgrunnlag!$F$22,IF(A18=[1]Tallgrunnlag!$A$23,[1]Tallgrunnlag!$F$23,IF(A18=[1]Tallgrunnlag!$A$24,[1]Tallgrunnlag!$F$24,IF(A18=[1]Tallgrunnlag!$A$25,[1]Tallgrunnlag!$F$25,IF(A18=[1]Tallgrunnlag!$A$26,[1]Tallgrunnlag!$F$26,IF(A18=[1]Tallgrunnlag!$A$27,[1]Tallgrunnlag!$F$27,IF(A18=[1]Tallgrunnlag!$A$28,[1]Tallgrunnlag!$F$28,IF(A18=[1]Tallgrunnlag!$A$29,[1]Tallgrunnlag!$F$29,)))))))))))))))))))))))</f>
        <v>0</v>
      </c>
      <c r="H18" s="20" t="str">
        <f>IF(A18=[1]Tallgrunnlag!$A$22,[1]Tallgrunnlag!$C$22/3-E41-E42-E43-E44,"")</f>
        <v/>
      </c>
      <c r="I18" s="20" t="str">
        <f>IF(A18="","",IF(A18=[1]Tallgrunnlag!$A$22,H18,IF(C18=[1]Tallgrunnlag!$B$92,((E18+F18+G18)*5),IF(C18=[1]Tallgrunnlag!$B$93,((E18+F18+G18)*4),E18+F18+G18))))</f>
        <v/>
      </c>
      <c r="J18" s="20" t="str">
        <f t="shared" si="0"/>
        <v/>
      </c>
      <c r="K18" s="21" t="str">
        <f>IF(A18="","",IF(A18=[1]Tallgrunnlag!$A$22,J18/D18,J18/D18))</f>
        <v/>
      </c>
      <c r="M18" s="35" t="s">
        <v>52</v>
      </c>
      <c r="N18" s="36">
        <f>IF(M18="","",IF(M18=[1]Tallgrunnlag!$A$58,[1]Tallgrunnlag!$B$58*$M$1,IF(M18=[1]Tallgrunnlag!$A$59,[1]Tallgrunnlag!$B$59*$M$1,IF(M18=[1]Tallgrunnlag!$A$60,[1]Tallgrunnlag!$B$60*$M$1,IF(M18=[1]Tallgrunnlag!$A$61,[1]Tallgrunnlag!$B$61*$M$1,IF(M18=[1]Tallgrunnlag!$A$62,[1]Tallgrunnlag!$B$62*$M$1,IF(M18=[1]Tallgrunnlag!$A$63,[1]Tallgrunnlag!$B$63*$M$1,IF(M18=[1]Tallgrunnlag!$A$64,[1]Tallgrunnlag!$B$64*$M$1,IF(M18=[1]Tallgrunnlag!$A$65,[1]Tallgrunnlag!$B$65*$M$1,IF(M18=[1]Tallgrunnlag!$A$66,[1]Tallgrunnlag!$B$66*$M$1,IF(M18=[1]Tallgrunnlag!$A$67,[1]Tallgrunnlag!$B$67*$M$1,IF(M18=[1]Tallgrunnlag!$A$68,[1]Tallgrunnlag!$B$68*$M$1,IF(M18=[1]Tallgrunnlag!$A$69,[1]Tallgrunnlag!$B$69*$M$1,IF(M18=[1]Tallgrunnlag!$A$70,[1]Tallgrunnlag!$B$70*$M$1,IF(M18=[1]Tallgrunnlag!$A$71,[1]Tallgrunnlag!$B$71*$M$1,IF(M18=[1]Tallgrunnlag!$A$72,[1]Tallgrunnlag!$B$72*$M$1,IF(M18=[1]Tallgrunnlag!$A$73,[1]Tallgrunnlag!$B$73*$M$1,IF(M18=[1]Tallgrunnlag!$A$74,[1]Tallgrunnlag!$B$74*$M$1,IF(M18=[1]Tallgrunnlag!$A$75,[1]Tallgrunnlag!$B$75*$M$1,IF(M18=[1]Tallgrunnlag!$A$76,[1]Tallgrunnlag!$B$76*$M$1,IF(M18=[1]Tallgrunnlag!$A$77,[1]Tallgrunnlag!$B$77*$M$1,IF(M18=[1]Tallgrunnlag!$A$78,[1]Tallgrunnlag!$B$78*$M$1,IF(M18=[1]Tallgrunnlag!$A$79,[1]Tallgrunnlag!$B$79*$M$1,IF(M18=[1]Tallgrunnlag!$A$82,[1]Tallgrunnlag!$B$82*$M$1))))))))))))))))))))))))</f>
        <v>76</v>
      </c>
      <c r="O18" s="37">
        <f t="shared" si="2"/>
        <v>2</v>
      </c>
    </row>
    <row r="19" spans="1:15" x14ac:dyDescent="0.25">
      <c r="A19" s="18"/>
      <c r="B19" s="18"/>
      <c r="C19" s="18"/>
      <c r="D19" s="19">
        <f>IF(A19=[1]Tallgrunnlag!$A$3,[1]Tallgrunnlag!$B$3,IF(A19=[1]Tallgrunnlag!$A$4,[1]Tallgrunnlag!$B$4,IF(A19=[1]Tallgrunnlag!$A$5,[1]Tallgrunnlag!$B$5,IF(A19=[1]Tallgrunnlag!$A$6,[1]Tallgrunnlag!$B$6,IF(A19=[1]Tallgrunnlag!$A$7,[1]Tallgrunnlag!$B$7)))))+IF(A19=[1]Tallgrunnlag!$A$8,[1]Tallgrunnlag!$B$8,IF(A19=[1]Tallgrunnlag!$A$9,[1]Tallgrunnlag!$B$9,IF(A19=[1]Tallgrunnlag!$A$10,[1]Tallgrunnlag!$B$10,IF(A19=[1]Tallgrunnlag!$A$11,[1]Tallgrunnlag!$B$11,IF(A19=[1]Tallgrunnlag!$A$12,[1]Tallgrunnlag!$B$12,IF(A19=[1]Tallgrunnlag!$A$13,[1]Tallgrunnlag!$B$13,IF(A19=[1]Tallgrunnlag!$A$14,[1]Tallgrunnlag!$B$14,IF(A19=[1]Tallgrunnlag!$A$15,[1]Tallgrunnlag!$B$15,IF(A19=[1]Tallgrunnlag!$A$16,[1]Tallgrunnlag!$B$16,IF(A19=[1]Tallgrunnlag!$A$17,[1]Tallgrunnlag!$B$17,IF(A19=[1]Tallgrunnlag!$A$18,[1]Tallgrunnlag!$B$18,IF(A19=[1]Tallgrunnlag!$A$19,[1]Tallgrunnlag!$B$19,IF(A19=[1]Tallgrunnlag!$A$20,[1]Tallgrunnlag!$B$20,IF(A19=[1]Tallgrunnlag!$A$21,[1]Tallgrunnlag!$B$21,IF(A19=[1]Tallgrunnlag!$A$22,[1]Tallgrunnlag!$B$22,IF(A19=[1]Tallgrunnlag!$A$23,[1]Tallgrunnlag!$B$23,IF(A19=[1]Tallgrunnlag!$A$24,[1]Tallgrunnlag!$B$24,IF(A19=[1]Tallgrunnlag!$A$25,[1]Tallgrunnlag!$B$25,IF(A19=[1]Tallgrunnlag!$A$26,[1]Tallgrunnlag!$B$26,IF(A19=[1]Tallgrunnlag!$A$27,[1]Tallgrunnlag!$B$27,IF(A19=[1]Tallgrunnlag!$A$28,[1]Tallgrunnlag!$B$28,IF(A19=[1]Tallgrunnlag!$A$29,[1]Tallgrunnlag!$B$29,))))))))))))))))))))))</f>
        <v>0</v>
      </c>
      <c r="E19" s="20" t="b">
        <f>IF(B19=8,IF(A19=[1]Tallgrunnlag!$A$3,[1]Tallgrunnlag!$D$3,IF(A19=[1]Tallgrunnlag!$A$4,[1]Tallgrunnlag!$D$4,IF(A19=[1]Tallgrunnlag!$A$5,[1]Tallgrunnlag!$D$5,IF(A19=[1]Tallgrunnlag!$A$6,[1]Tallgrunnlag!$D$6,IF(A19=[1]Tallgrunnlag!$A$7,[1]Tallgrunnlag!$D$7)))))+IF(A19=[1]Tallgrunnlag!$A$8,[1]Tallgrunnlag!$D$8,IF(A19=[1]Tallgrunnlag!$A$9,[1]Tallgrunnlag!$D$9,IF(A19=[1]Tallgrunnlag!$A$10,[1]Tallgrunnlag!$D$10,IF(A19=[1]Tallgrunnlag!$A$11,[1]Tallgrunnlag!$D$11,IF(A19=[1]Tallgrunnlag!$A$12,[1]Tallgrunnlag!$D$12,IF(A19=[1]Tallgrunnlag!$A$13,[1]Tallgrunnlag!$D$13,IF(A19=[1]Tallgrunnlag!$A$14,[1]Tallgrunnlag!$D$14,IF(A19=[1]Tallgrunnlag!$A$15,[1]Tallgrunnlag!$D$15,IF(A19=[1]Tallgrunnlag!$A$16,[1]Tallgrunnlag!$D$16,IF(A19=[1]Tallgrunnlag!$A$17,[1]Tallgrunnlag!$D$17,IF(A19=[1]Tallgrunnlag!$A$18,[1]Tallgrunnlag!$D$18,IF(A19=[1]Tallgrunnlag!$A$19,[1]Tallgrunnlag!$D$19,IF(A19=[1]Tallgrunnlag!$A$20,[1]Tallgrunnlag!$D$20,IF(A19=[1]Tallgrunnlag!$A$21,[1]Tallgrunnlag!$D$21,IF(A19=[1]Tallgrunnlag!$A$22,[1]Tallgrunnlag!$D$22,IF(A19=[1]Tallgrunnlag!$A$23,[1]Tallgrunnlag!$D$23,IF(A19=[1]Tallgrunnlag!$A$24,[1]Tallgrunnlag!$D$24,IF(A19=[1]Tallgrunnlag!$A$25,[1]Tallgrunnlag!$D$25,IF(A19=[1]Tallgrunnlag!$A$26,[1]Tallgrunnlag!$D$26,IF(A19=[1]Tallgrunnlag!$A$27,[1]Tallgrunnlag!$D$27,IF(A19=[1]Tallgrunnlag!$A$28,[1]Tallgrunnlag!$D$28,IF(A19=[1]Tallgrunnlag!$A$29,[1]Tallgrunnlag!$D$29,)))))))))))))))))))))))</f>
        <v>0</v>
      </c>
      <c r="F19" s="20" t="b">
        <f>IF(B19=9,IF(A19=[1]Tallgrunnlag!$A$3,[1]Tallgrunnlag!$E$3,IF(A19=[1]Tallgrunnlag!$A$4,[1]Tallgrunnlag!$E$4,IF(A19=[1]Tallgrunnlag!$A$5,[1]Tallgrunnlag!$E$5,IF(A19=[1]Tallgrunnlag!$A$6,[1]Tallgrunnlag!$E$6,IF(A19=[1]Tallgrunnlag!$A$7,[1]Tallgrunnlag!$E$7)))))+IF(A19=[1]Tallgrunnlag!$A$8,[1]Tallgrunnlag!$E$8,IF(A19=[1]Tallgrunnlag!$A$9,[1]Tallgrunnlag!$E$9,IF(A19=[1]Tallgrunnlag!$A$10,[1]Tallgrunnlag!$E$10,IF(A19=[1]Tallgrunnlag!$A$11,[1]Tallgrunnlag!$E$11,IF(A19=[1]Tallgrunnlag!$A$12,[1]Tallgrunnlag!$E$12,IF(A19=[1]Tallgrunnlag!$A$13,[1]Tallgrunnlag!$E$13,IF(A19=[1]Tallgrunnlag!$A$14,[1]Tallgrunnlag!$E$14,IF(A19=[1]Tallgrunnlag!$A$15,[1]Tallgrunnlag!$E$15,IF(A19=[1]Tallgrunnlag!$A$16,[1]Tallgrunnlag!$E$16,IF(A19=[1]Tallgrunnlag!$A$17,[1]Tallgrunnlag!$E$17,IF(A19=[1]Tallgrunnlag!$A$18,[1]Tallgrunnlag!$E$18,IF(A19=[1]Tallgrunnlag!$A$19,[1]Tallgrunnlag!$E$19,IF(A19=[1]Tallgrunnlag!$A$20,[1]Tallgrunnlag!$E$20,IF(A19=[1]Tallgrunnlag!$A$21,[1]Tallgrunnlag!$E$21,IF(A19=[1]Tallgrunnlag!$A$22,[1]Tallgrunnlag!$E$22,IF(A19=[1]Tallgrunnlag!$A$23,[1]Tallgrunnlag!$E$23,IF(A19=[1]Tallgrunnlag!$A$24,[1]Tallgrunnlag!$E$24,IF(A19=[1]Tallgrunnlag!$A$25,[1]Tallgrunnlag!$E$25,IF(A19=[1]Tallgrunnlag!$A$26,[1]Tallgrunnlag!$E$26,IF(A19=[1]Tallgrunnlag!$A$27,[1]Tallgrunnlag!$E$27,IF(A19=[1]Tallgrunnlag!$A$28,[1]Tallgrunnlag!$E$28,IF(A19=[1]Tallgrunnlag!$A$29,[1]Tallgrunnlag!$E$29,)))))))))))))))))))))))</f>
        <v>0</v>
      </c>
      <c r="G19" s="20" t="b">
        <f>IF(B19=10,IF(A19=[1]Tallgrunnlag!$A$3,[1]Tallgrunnlag!$F$3,IF(A19=[1]Tallgrunnlag!$A$4,[1]Tallgrunnlag!$F$4,IF(A19=[1]Tallgrunnlag!$A$5,[1]Tallgrunnlag!$F$5,IF(A19=[1]Tallgrunnlag!$A$6,[1]Tallgrunnlag!$F$6,IF(A19=[1]Tallgrunnlag!$A$7,[1]Tallgrunnlag!$F$7)))))+IF(A19=[1]Tallgrunnlag!$A$8,[1]Tallgrunnlag!$F$8,IF(A19=[1]Tallgrunnlag!$A$9,[1]Tallgrunnlag!$F$9,IF(A19=[1]Tallgrunnlag!$A$10,[1]Tallgrunnlag!$F$10,IF(A19=[1]Tallgrunnlag!$A$11,[1]Tallgrunnlag!$F$11,IF(A19=[1]Tallgrunnlag!$A$12,[1]Tallgrunnlag!$F$12,IF(A19=[1]Tallgrunnlag!$A$13,[1]Tallgrunnlag!$F$13,IF(A19=[1]Tallgrunnlag!$A$14,[1]Tallgrunnlag!$F$14,IF(A19=[1]Tallgrunnlag!$A$15,[1]Tallgrunnlag!$F$15,IF(A19=[1]Tallgrunnlag!$A$16,[1]Tallgrunnlag!$F$16,IF(A19=[1]Tallgrunnlag!$A$17,[1]Tallgrunnlag!$F$17,IF(A19=[1]Tallgrunnlag!$A$18,[1]Tallgrunnlag!$F$18,IF(A19=[1]Tallgrunnlag!$A$19,[1]Tallgrunnlag!$F$19,IF(A19=[1]Tallgrunnlag!$A$20,[1]Tallgrunnlag!$F$20,IF(A19=[1]Tallgrunnlag!$A$21,[1]Tallgrunnlag!$F$21,IF(A19=[1]Tallgrunnlag!$A$22,[1]Tallgrunnlag!$F$22,IF(A19=[1]Tallgrunnlag!$A$23,[1]Tallgrunnlag!$F$23,IF(A19=[1]Tallgrunnlag!$A$24,[1]Tallgrunnlag!$F$24,IF(A19=[1]Tallgrunnlag!$A$25,[1]Tallgrunnlag!$F$25,IF(A19=[1]Tallgrunnlag!$A$26,[1]Tallgrunnlag!$F$26,IF(A19=[1]Tallgrunnlag!$A$27,[1]Tallgrunnlag!$F$27,IF(A19=[1]Tallgrunnlag!$A$28,[1]Tallgrunnlag!$F$28,IF(A19=[1]Tallgrunnlag!$A$29,[1]Tallgrunnlag!$F$29,)))))))))))))))))))))))</f>
        <v>0</v>
      </c>
      <c r="H19" s="20" t="str">
        <f>IF(A19=[1]Tallgrunnlag!$A$22,[1]Tallgrunnlag!$C$22/3-E42-E43-E44-E45,"")</f>
        <v/>
      </c>
      <c r="I19" s="20" t="str">
        <f>IF(A19="","",IF(A19=[1]Tallgrunnlag!$A$22,H19,IF(C19=[1]Tallgrunnlag!$B$92,((E19+F19+G19)*5),IF(C19=[1]Tallgrunnlag!$B$93,((E19+F19+G19)*4),E19+F19+G19))))</f>
        <v/>
      </c>
      <c r="J19" s="20" t="str">
        <f t="shared" si="0"/>
        <v/>
      </c>
      <c r="K19" s="21" t="str">
        <f>IF(A19="","",IF(A19=[1]Tallgrunnlag!$A$22,J19/D19,J19/D19))</f>
        <v/>
      </c>
      <c r="M19" s="35" t="s">
        <v>53</v>
      </c>
      <c r="N19" s="36">
        <f>IF(M19="","",IF(M19=[1]Tallgrunnlag!$A$58,[1]Tallgrunnlag!$B$58*$M$1,IF(M19=[1]Tallgrunnlag!$A$59,[1]Tallgrunnlag!$B$59*$M$1,IF(M19=[1]Tallgrunnlag!$A$60,[1]Tallgrunnlag!$B$60*$M$1,IF(M19=[1]Tallgrunnlag!$A$61,[1]Tallgrunnlag!$B$61*$M$1,IF(M19=[1]Tallgrunnlag!$A$62,[1]Tallgrunnlag!$B$62*$M$1,IF(M19=[1]Tallgrunnlag!$A$63,[1]Tallgrunnlag!$B$63*$M$1,IF(M19=[1]Tallgrunnlag!$A$64,[1]Tallgrunnlag!$B$64*$M$1,IF(M19=[1]Tallgrunnlag!$A$65,[1]Tallgrunnlag!$B$65*$M$1,IF(M19=[1]Tallgrunnlag!$A$66,[1]Tallgrunnlag!$B$66*$M$1,IF(M19=[1]Tallgrunnlag!$A$67,[1]Tallgrunnlag!$B$67*$M$1,IF(M19=[1]Tallgrunnlag!$A$68,[1]Tallgrunnlag!$B$68*$M$1,IF(M19=[1]Tallgrunnlag!$A$69,[1]Tallgrunnlag!$B$69*$M$1,IF(M19=[1]Tallgrunnlag!$A$70,[1]Tallgrunnlag!$B$70*$M$1,IF(M19=[1]Tallgrunnlag!$A$71,[1]Tallgrunnlag!$B$71*$M$1,IF(M19=[1]Tallgrunnlag!$A$72,[1]Tallgrunnlag!$B$72*$M$1,IF(M19=[1]Tallgrunnlag!$A$73,[1]Tallgrunnlag!$B$73*$M$1,IF(M19=[1]Tallgrunnlag!$A$74,[1]Tallgrunnlag!$B$74*$M$1,IF(M19=[1]Tallgrunnlag!$A$75,[1]Tallgrunnlag!$B$75*$M$1,IF(M19=[1]Tallgrunnlag!$A$76,[1]Tallgrunnlag!$B$76*$M$1,IF(M19=[1]Tallgrunnlag!$A$77,[1]Tallgrunnlag!$B$77*$M$1,IF(M19=[1]Tallgrunnlag!$A$78,[1]Tallgrunnlag!$B$78*$M$1,IF(M19=[1]Tallgrunnlag!$A$79,[1]Tallgrunnlag!$B$79*$M$1,IF(M19=[1]Tallgrunnlag!$A$82,[1]Tallgrunnlag!$B$82*$M$1))))))))))))))))))))))))</f>
        <v>38</v>
      </c>
      <c r="O19" s="37">
        <f t="shared" si="2"/>
        <v>1</v>
      </c>
    </row>
    <row r="20" spans="1:15" x14ac:dyDescent="0.25">
      <c r="A20" s="18"/>
      <c r="B20" s="18"/>
      <c r="C20" s="18"/>
      <c r="D20" s="19">
        <f>IF(A20=[1]Tallgrunnlag!$A$3,[1]Tallgrunnlag!$B$3,IF(A20=[1]Tallgrunnlag!$A$4,[1]Tallgrunnlag!$B$4,IF(A20=[1]Tallgrunnlag!$A$5,[1]Tallgrunnlag!$B$5,IF(A20=[1]Tallgrunnlag!$A$6,[1]Tallgrunnlag!$B$6,IF(A20=[1]Tallgrunnlag!$A$7,[1]Tallgrunnlag!$B$7)))))+IF(A20=[1]Tallgrunnlag!$A$8,[1]Tallgrunnlag!$B$8,IF(A20=[1]Tallgrunnlag!$A$9,[1]Tallgrunnlag!$B$9,IF(A20=[1]Tallgrunnlag!$A$10,[1]Tallgrunnlag!$B$10,IF(A20=[1]Tallgrunnlag!$A$11,[1]Tallgrunnlag!$B$11,IF(A20=[1]Tallgrunnlag!$A$12,[1]Tallgrunnlag!$B$12,IF(A20=[1]Tallgrunnlag!$A$13,[1]Tallgrunnlag!$B$13,IF(A20=[1]Tallgrunnlag!$A$14,[1]Tallgrunnlag!$B$14,IF(A20=[1]Tallgrunnlag!$A$15,[1]Tallgrunnlag!$B$15,IF(A20=[1]Tallgrunnlag!$A$16,[1]Tallgrunnlag!$B$16,IF(A20=[1]Tallgrunnlag!$A$17,[1]Tallgrunnlag!$B$17,IF(A20=[1]Tallgrunnlag!$A$18,[1]Tallgrunnlag!$B$18,IF(A20=[1]Tallgrunnlag!$A$19,[1]Tallgrunnlag!$B$19,IF(A20=[1]Tallgrunnlag!$A$20,[1]Tallgrunnlag!$B$20,IF(A20=[1]Tallgrunnlag!$A$21,[1]Tallgrunnlag!$B$21,IF(A20=[1]Tallgrunnlag!$A$22,[1]Tallgrunnlag!$B$22,IF(A20=[1]Tallgrunnlag!$A$23,[1]Tallgrunnlag!$B$23,IF(A20=[1]Tallgrunnlag!$A$24,[1]Tallgrunnlag!$B$24,IF(A20=[1]Tallgrunnlag!$A$25,[1]Tallgrunnlag!$B$25,IF(A20=[1]Tallgrunnlag!$A$26,[1]Tallgrunnlag!$B$26,IF(A20=[1]Tallgrunnlag!$A$27,[1]Tallgrunnlag!$B$27,IF(A20=[1]Tallgrunnlag!$A$28,[1]Tallgrunnlag!$B$28,IF(A20=[1]Tallgrunnlag!$A$29,[1]Tallgrunnlag!$B$29,))))))))))))))))))))))</f>
        <v>0</v>
      </c>
      <c r="E20" s="20" t="b">
        <f>IF(B20=8,IF(A20=[1]Tallgrunnlag!$A$3,[1]Tallgrunnlag!$D$3,IF(A20=[1]Tallgrunnlag!$A$4,[1]Tallgrunnlag!$D$4,IF(A20=[1]Tallgrunnlag!$A$5,[1]Tallgrunnlag!$D$5,IF(A20=[1]Tallgrunnlag!$A$6,[1]Tallgrunnlag!$D$6,IF(A20=[1]Tallgrunnlag!$A$7,[1]Tallgrunnlag!$D$7)))))+IF(A20=[1]Tallgrunnlag!$A$8,[1]Tallgrunnlag!$D$8,IF(A20=[1]Tallgrunnlag!$A$9,[1]Tallgrunnlag!$D$9,IF(A20=[1]Tallgrunnlag!$A$10,[1]Tallgrunnlag!$D$10,IF(A20=[1]Tallgrunnlag!$A$11,[1]Tallgrunnlag!$D$11,IF(A20=[1]Tallgrunnlag!$A$12,[1]Tallgrunnlag!$D$12,IF(A20=[1]Tallgrunnlag!$A$13,[1]Tallgrunnlag!$D$13,IF(A20=[1]Tallgrunnlag!$A$14,[1]Tallgrunnlag!$D$14,IF(A20=[1]Tallgrunnlag!$A$15,[1]Tallgrunnlag!$D$15,IF(A20=[1]Tallgrunnlag!$A$16,[1]Tallgrunnlag!$D$16,IF(A20=[1]Tallgrunnlag!$A$17,[1]Tallgrunnlag!$D$17,IF(A20=[1]Tallgrunnlag!$A$18,[1]Tallgrunnlag!$D$18,IF(A20=[1]Tallgrunnlag!$A$19,[1]Tallgrunnlag!$D$19,IF(A20=[1]Tallgrunnlag!$A$20,[1]Tallgrunnlag!$D$20,IF(A20=[1]Tallgrunnlag!$A$21,[1]Tallgrunnlag!$D$21,IF(A20=[1]Tallgrunnlag!$A$22,[1]Tallgrunnlag!$D$22,IF(A20=[1]Tallgrunnlag!$A$23,[1]Tallgrunnlag!$D$23,IF(A20=[1]Tallgrunnlag!$A$24,[1]Tallgrunnlag!$D$24,IF(A20=[1]Tallgrunnlag!$A$25,[1]Tallgrunnlag!$D$25,IF(A20=[1]Tallgrunnlag!$A$26,[1]Tallgrunnlag!$D$26,IF(A20=[1]Tallgrunnlag!$A$27,[1]Tallgrunnlag!$D$27,IF(A20=[1]Tallgrunnlag!$A$28,[1]Tallgrunnlag!$D$28,IF(A20=[1]Tallgrunnlag!$A$29,[1]Tallgrunnlag!$D$29,)))))))))))))))))))))))</f>
        <v>0</v>
      </c>
      <c r="F20" s="20" t="b">
        <f>IF(B20=9,IF(A20=[1]Tallgrunnlag!$A$3,[1]Tallgrunnlag!$E$3,IF(A20=[1]Tallgrunnlag!$A$4,[1]Tallgrunnlag!$E$4,IF(A20=[1]Tallgrunnlag!$A$5,[1]Tallgrunnlag!$E$5,IF(A20=[1]Tallgrunnlag!$A$6,[1]Tallgrunnlag!$E$6,IF(A20=[1]Tallgrunnlag!$A$7,[1]Tallgrunnlag!$E$7)))))+IF(A20=[1]Tallgrunnlag!$A$8,[1]Tallgrunnlag!$E$8,IF(A20=[1]Tallgrunnlag!$A$9,[1]Tallgrunnlag!$E$9,IF(A20=[1]Tallgrunnlag!$A$10,[1]Tallgrunnlag!$E$10,IF(A20=[1]Tallgrunnlag!$A$11,[1]Tallgrunnlag!$E$11,IF(A20=[1]Tallgrunnlag!$A$12,[1]Tallgrunnlag!$E$12,IF(A20=[1]Tallgrunnlag!$A$13,[1]Tallgrunnlag!$E$13,IF(A20=[1]Tallgrunnlag!$A$14,[1]Tallgrunnlag!$E$14,IF(A20=[1]Tallgrunnlag!$A$15,[1]Tallgrunnlag!$E$15,IF(A20=[1]Tallgrunnlag!$A$16,[1]Tallgrunnlag!$E$16,IF(A20=[1]Tallgrunnlag!$A$17,[1]Tallgrunnlag!$E$17,IF(A20=[1]Tallgrunnlag!$A$18,[1]Tallgrunnlag!$E$18,IF(A20=[1]Tallgrunnlag!$A$19,[1]Tallgrunnlag!$E$19,IF(A20=[1]Tallgrunnlag!$A$20,[1]Tallgrunnlag!$E$20,IF(A20=[1]Tallgrunnlag!$A$21,[1]Tallgrunnlag!$E$21,IF(A20=[1]Tallgrunnlag!$A$22,[1]Tallgrunnlag!$E$22,IF(A20=[1]Tallgrunnlag!$A$23,[1]Tallgrunnlag!$E$23,IF(A20=[1]Tallgrunnlag!$A$24,[1]Tallgrunnlag!$E$24,IF(A20=[1]Tallgrunnlag!$A$25,[1]Tallgrunnlag!$E$25,IF(A20=[1]Tallgrunnlag!$A$26,[1]Tallgrunnlag!$E$26,IF(A20=[1]Tallgrunnlag!$A$27,[1]Tallgrunnlag!$E$27,IF(A20=[1]Tallgrunnlag!$A$28,[1]Tallgrunnlag!$E$28,IF(A20=[1]Tallgrunnlag!$A$29,[1]Tallgrunnlag!$E$29,)))))))))))))))))))))))</f>
        <v>0</v>
      </c>
      <c r="G20" s="20" t="b">
        <f>IF(B20=10,IF(A20=[1]Tallgrunnlag!$A$3,[1]Tallgrunnlag!$F$3,IF(A20=[1]Tallgrunnlag!$A$4,[1]Tallgrunnlag!$F$4,IF(A20=[1]Tallgrunnlag!$A$5,[1]Tallgrunnlag!$F$5,IF(A20=[1]Tallgrunnlag!$A$6,[1]Tallgrunnlag!$F$6,IF(A20=[1]Tallgrunnlag!$A$7,[1]Tallgrunnlag!$F$7)))))+IF(A20=[1]Tallgrunnlag!$A$8,[1]Tallgrunnlag!$F$8,IF(A20=[1]Tallgrunnlag!$A$9,[1]Tallgrunnlag!$F$9,IF(A20=[1]Tallgrunnlag!$A$10,[1]Tallgrunnlag!$F$10,IF(A20=[1]Tallgrunnlag!$A$11,[1]Tallgrunnlag!$F$11,IF(A20=[1]Tallgrunnlag!$A$12,[1]Tallgrunnlag!$F$12,IF(A20=[1]Tallgrunnlag!$A$13,[1]Tallgrunnlag!$F$13,IF(A20=[1]Tallgrunnlag!$A$14,[1]Tallgrunnlag!$F$14,IF(A20=[1]Tallgrunnlag!$A$15,[1]Tallgrunnlag!$F$15,IF(A20=[1]Tallgrunnlag!$A$16,[1]Tallgrunnlag!$F$16,IF(A20=[1]Tallgrunnlag!$A$17,[1]Tallgrunnlag!$F$17,IF(A20=[1]Tallgrunnlag!$A$18,[1]Tallgrunnlag!$F$18,IF(A20=[1]Tallgrunnlag!$A$19,[1]Tallgrunnlag!$F$19,IF(A20=[1]Tallgrunnlag!$A$20,[1]Tallgrunnlag!$F$20,IF(A20=[1]Tallgrunnlag!$A$21,[1]Tallgrunnlag!$F$21,IF(A20=[1]Tallgrunnlag!$A$22,[1]Tallgrunnlag!$F$22,IF(A20=[1]Tallgrunnlag!$A$23,[1]Tallgrunnlag!$F$23,IF(A20=[1]Tallgrunnlag!$A$24,[1]Tallgrunnlag!$F$24,IF(A20=[1]Tallgrunnlag!$A$25,[1]Tallgrunnlag!$F$25,IF(A20=[1]Tallgrunnlag!$A$26,[1]Tallgrunnlag!$F$26,IF(A20=[1]Tallgrunnlag!$A$27,[1]Tallgrunnlag!$F$27,IF(A20=[1]Tallgrunnlag!$A$28,[1]Tallgrunnlag!$F$28,IF(A20=[1]Tallgrunnlag!$A$29,[1]Tallgrunnlag!$F$29,)))))))))))))))))))))))</f>
        <v>0</v>
      </c>
      <c r="H20" s="20" t="str">
        <f>IF(A20=[1]Tallgrunnlag!$A$22,[1]Tallgrunnlag!$C$22/3-E43-E44-E45-E46,"")</f>
        <v/>
      </c>
      <c r="I20" s="20" t="str">
        <f>IF(A20="","",IF(A20=[1]Tallgrunnlag!$A$22,H20,IF(C20=[1]Tallgrunnlag!$B$92,((E20+F20+G20)*5),IF(C20=[1]Tallgrunnlag!$B$93,((E20+F20+G20)*4),E20+F20+G20))))</f>
        <v/>
      </c>
      <c r="J20" s="20" t="str">
        <f t="shared" si="0"/>
        <v/>
      </c>
      <c r="K20" s="21" t="str">
        <f>IF(A20="","",IF(A20=[1]Tallgrunnlag!$A$22,J20/D20,J20/D20))</f>
        <v/>
      </c>
      <c r="M20" s="35" t="s">
        <v>54</v>
      </c>
      <c r="N20" s="36">
        <f>IF(M20="","",IF(M20=[1]Tallgrunnlag!$A$58,[1]Tallgrunnlag!$B$58*$M$1,IF(M20=[1]Tallgrunnlag!$A$59,[1]Tallgrunnlag!$B$59*$M$1,IF(M20=[1]Tallgrunnlag!$A$60,[1]Tallgrunnlag!$B$60*$M$1,IF(M20=[1]Tallgrunnlag!$A$61,[1]Tallgrunnlag!$B$61*$M$1,IF(M20=[1]Tallgrunnlag!$A$62,[1]Tallgrunnlag!$B$62*$M$1,IF(M20=[1]Tallgrunnlag!$A$63,[1]Tallgrunnlag!$B$63*$M$1,IF(M20=[1]Tallgrunnlag!$A$64,[1]Tallgrunnlag!$B$64*$M$1,IF(M20=[1]Tallgrunnlag!$A$65,[1]Tallgrunnlag!$B$65*$M$1,IF(M20=[1]Tallgrunnlag!$A$66,[1]Tallgrunnlag!$B$66*$M$1,IF(M20=[1]Tallgrunnlag!$A$67,[1]Tallgrunnlag!$B$67*$M$1,IF(M20=[1]Tallgrunnlag!$A$68,[1]Tallgrunnlag!$B$68*$M$1,IF(M20=[1]Tallgrunnlag!$A$69,[1]Tallgrunnlag!$B$69*$M$1,IF(M20=[1]Tallgrunnlag!$A$70,[1]Tallgrunnlag!$B$70*$M$1,IF(M20=[1]Tallgrunnlag!$A$71,[1]Tallgrunnlag!$B$71*$M$1,IF(M20=[1]Tallgrunnlag!$A$72,[1]Tallgrunnlag!$B$72*$M$1,IF(M20=[1]Tallgrunnlag!$A$73,[1]Tallgrunnlag!$B$73*$M$1,IF(M20=[1]Tallgrunnlag!$A$74,[1]Tallgrunnlag!$B$74*$M$1,IF(M20=[1]Tallgrunnlag!$A$75,[1]Tallgrunnlag!$B$75*$M$1,IF(M20=[1]Tallgrunnlag!$A$76,[1]Tallgrunnlag!$B$76*$M$1,IF(M20=[1]Tallgrunnlag!$A$77,[1]Tallgrunnlag!$B$77*$M$1,IF(M20=[1]Tallgrunnlag!$A$78,[1]Tallgrunnlag!$B$78*$M$1,IF(M20=[1]Tallgrunnlag!$A$79,[1]Tallgrunnlag!$B$79*$M$1,IF(M20=[1]Tallgrunnlag!$A$82,[1]Tallgrunnlag!$B$82*$M$1))))))))))))))))))))))))</f>
        <v>15</v>
      </c>
      <c r="O20" s="37">
        <f t="shared" si="2"/>
        <v>0.39473684210526316</v>
      </c>
    </row>
    <row r="21" spans="1:15" x14ac:dyDescent="0.25">
      <c r="A21" s="1" t="s">
        <v>55</v>
      </c>
      <c r="D21" s="38"/>
      <c r="I21" s="39">
        <f>SUM(I6:I20)</f>
        <v>0</v>
      </c>
      <c r="J21" s="39">
        <f>SUM(J6:J20)</f>
        <v>0</v>
      </c>
      <c r="K21" s="40">
        <f>SUM(K6:K20)</f>
        <v>0</v>
      </c>
      <c r="M21" s="35" t="s">
        <v>56</v>
      </c>
      <c r="N21" s="36">
        <f>IF(M21="","",IF(M21=[1]Tallgrunnlag!$A$58,[1]Tallgrunnlag!$B$58*$M$1,IF(M21=[1]Tallgrunnlag!$A$59,[1]Tallgrunnlag!$B$59*$M$1,IF(M21=[1]Tallgrunnlag!$A$60,[1]Tallgrunnlag!$B$60*$M$1,IF(M21=[1]Tallgrunnlag!$A$61,[1]Tallgrunnlag!$B$61*$M$1,IF(M21=[1]Tallgrunnlag!$A$62,[1]Tallgrunnlag!$B$62*$M$1,IF(M21=[1]Tallgrunnlag!$A$63,[1]Tallgrunnlag!$B$63*$M$1,IF(M21=[1]Tallgrunnlag!$A$64,[1]Tallgrunnlag!$B$64*$M$1,IF(M21=[1]Tallgrunnlag!$A$65,[1]Tallgrunnlag!$B$65*$M$1,IF(M21=[1]Tallgrunnlag!$A$66,[1]Tallgrunnlag!$B$66*$M$1,IF(M21=[1]Tallgrunnlag!$A$67,[1]Tallgrunnlag!$B$67*$M$1,IF(M21=[1]Tallgrunnlag!$A$68,[1]Tallgrunnlag!$B$68*$M$1,IF(M21=[1]Tallgrunnlag!$A$69,[1]Tallgrunnlag!$B$69*$M$1,IF(M21=[1]Tallgrunnlag!$A$70,[1]Tallgrunnlag!$B$70*$M$1,IF(M21=[1]Tallgrunnlag!$A$71,[1]Tallgrunnlag!$B$71*$M$1,IF(M21=[1]Tallgrunnlag!$A$72,[1]Tallgrunnlag!$B$72*$M$1,IF(M21=[1]Tallgrunnlag!$A$73,[1]Tallgrunnlag!$B$73*$M$1,IF(M21=[1]Tallgrunnlag!$A$74,[1]Tallgrunnlag!$B$74*$M$1,IF(M21=[1]Tallgrunnlag!$A$75,[1]Tallgrunnlag!$B$75*$M$1,IF(M21=[1]Tallgrunnlag!$A$76,[1]Tallgrunnlag!$B$76*$M$1,IF(M21=[1]Tallgrunnlag!$A$77,[1]Tallgrunnlag!$B$77*$M$1,IF(M21=[1]Tallgrunnlag!$A$78,[1]Tallgrunnlag!$B$78*$M$1,IF(M21=[1]Tallgrunnlag!$A$79,[1]Tallgrunnlag!$B$79*$M$1,IF(M21=[1]Tallgrunnlag!$A$82,[1]Tallgrunnlag!$B$82*$M$1))))))))))))))))))))))))</f>
        <v>8</v>
      </c>
      <c r="O21" s="37">
        <f t="shared" si="2"/>
        <v>0.21052631578947367</v>
      </c>
    </row>
    <row r="22" spans="1:15" x14ac:dyDescent="0.25">
      <c r="D22" s="38"/>
      <c r="K22" s="40"/>
      <c r="M22" s="35" t="s">
        <v>57</v>
      </c>
      <c r="N22" s="36">
        <f>IF(M22="","",IF(M22=[1]Tallgrunnlag!$A$58,[1]Tallgrunnlag!$B$58*$M$1,IF(M22=[1]Tallgrunnlag!$A$59,[1]Tallgrunnlag!$B$59*$M$1,IF(M22=[1]Tallgrunnlag!$A$60,[1]Tallgrunnlag!$B$60*$M$1,IF(M22=[1]Tallgrunnlag!$A$61,[1]Tallgrunnlag!$B$61*$M$1,IF(M22=[1]Tallgrunnlag!$A$62,[1]Tallgrunnlag!$B$62*$M$1,IF(M22=[1]Tallgrunnlag!$A$63,[1]Tallgrunnlag!$B$63*$M$1,IF(M22=[1]Tallgrunnlag!$A$64,[1]Tallgrunnlag!$B$64*$M$1,IF(M22=[1]Tallgrunnlag!$A$65,[1]Tallgrunnlag!$B$65*$M$1,IF(M22=[1]Tallgrunnlag!$A$66,[1]Tallgrunnlag!$B$66*$M$1,IF(M22=[1]Tallgrunnlag!$A$67,[1]Tallgrunnlag!$B$67*$M$1,IF(M22=[1]Tallgrunnlag!$A$68,[1]Tallgrunnlag!$B$68*$M$1,IF(M22=[1]Tallgrunnlag!$A$69,[1]Tallgrunnlag!$B$69*$M$1,IF(M22=[1]Tallgrunnlag!$A$70,[1]Tallgrunnlag!$B$70*$M$1,IF(M22=[1]Tallgrunnlag!$A$71,[1]Tallgrunnlag!$B$71*$M$1,IF(M22=[1]Tallgrunnlag!$A$72,[1]Tallgrunnlag!$B$72*$M$1,IF(M22=[1]Tallgrunnlag!$A$73,[1]Tallgrunnlag!$B$73*$M$1,IF(M22=[1]Tallgrunnlag!$A$74,[1]Tallgrunnlag!$B$74*$M$1,IF(M22=[1]Tallgrunnlag!$A$75,[1]Tallgrunnlag!$B$75*$M$1,IF(M22=[1]Tallgrunnlag!$A$76,[1]Tallgrunnlag!$B$76*$M$1,IF(M22=[1]Tallgrunnlag!$A$77,[1]Tallgrunnlag!$B$77*$M$1,IF(M22=[1]Tallgrunnlag!$A$78,[1]Tallgrunnlag!$B$78*$M$1,IF(M22=[1]Tallgrunnlag!$A$79,[1]Tallgrunnlag!$B$79*$M$1,IF(M22=[1]Tallgrunnlag!$A$82,[1]Tallgrunnlag!$B$82*$M$1))))))))))))))))))))))))</f>
        <v>6</v>
      </c>
      <c r="O22" s="37">
        <f t="shared" si="2"/>
        <v>0.15789473684210525</v>
      </c>
    </row>
    <row r="23" spans="1:15" x14ac:dyDescent="0.25">
      <c r="A23" s="1" t="s">
        <v>58</v>
      </c>
      <c r="M23" s="35" t="s">
        <v>59</v>
      </c>
      <c r="N23" s="36">
        <v>10</v>
      </c>
      <c r="O23" s="37">
        <f t="shared" si="2"/>
        <v>0.26315789473684209</v>
      </c>
    </row>
    <row r="24" spans="1:15" x14ac:dyDescent="0.25">
      <c r="A24" s="41" t="str">
        <f>IF(D24=664,"Styrking","")</f>
        <v>Styrking</v>
      </c>
      <c r="B24" s="18"/>
      <c r="C24" s="20"/>
      <c r="D24" s="19">
        <f>IF(I40&gt;0.5,664,0)</f>
        <v>664</v>
      </c>
      <c r="E24" s="20"/>
      <c r="F24" s="20"/>
      <c r="G24" s="20"/>
      <c r="H24" s="20"/>
      <c r="I24" s="42">
        <f>IF(A24="","",FLOOR(I40,0.5))</f>
        <v>15</v>
      </c>
      <c r="J24" s="42">
        <f t="shared" ref="J24:J25" si="3">IF(A24="","",I24*38)</f>
        <v>570</v>
      </c>
      <c r="K24" s="43">
        <f>IF(A24="","",IF(A24=[1]Tallgrunnlag!$A$22,J24/D24,J24/D24))</f>
        <v>0.85843373493975905</v>
      </c>
      <c r="M24" s="35" t="s">
        <v>60</v>
      </c>
      <c r="N24" s="36">
        <f>IF(M24="","",IF(M24=[1]Tallgrunnlag!$A$58,[1]Tallgrunnlag!$B$58*$M$1,IF(M24=[1]Tallgrunnlag!$A$59,[1]Tallgrunnlag!$B$59*$M$1,IF(M24=[1]Tallgrunnlag!$A$60,[1]Tallgrunnlag!$B$60*$M$1,IF(M24=[1]Tallgrunnlag!$A$61,[1]Tallgrunnlag!$B$61*$M$1,IF(M24=[1]Tallgrunnlag!$A$62,[1]Tallgrunnlag!$B$62*$M$1,IF(M24=[1]Tallgrunnlag!$A$63,[1]Tallgrunnlag!$B$63*$M$1,IF(M24=[1]Tallgrunnlag!$A$64,[1]Tallgrunnlag!$B$64*$M$1,IF(M24=[1]Tallgrunnlag!$A$65,[1]Tallgrunnlag!$B$65*$M$1,IF(M24=[1]Tallgrunnlag!$A$66,[1]Tallgrunnlag!$B$66*$M$1,IF(M24=[1]Tallgrunnlag!$A$67,[1]Tallgrunnlag!$B$67*$M$1,IF(M24=[1]Tallgrunnlag!$A$68,[1]Tallgrunnlag!$B$68*$M$1,IF(M24=[1]Tallgrunnlag!$A$69,[1]Tallgrunnlag!$B$69*$M$1,IF(M24=[1]Tallgrunnlag!$A$70,[1]Tallgrunnlag!$B$70*$M$1,IF(M24=[1]Tallgrunnlag!$A$71,[1]Tallgrunnlag!$B$71*$M$1,IF(M24=[1]Tallgrunnlag!$A$72,[1]Tallgrunnlag!$B$72*$M$1,IF(M24=[1]Tallgrunnlag!$A$73,[1]Tallgrunnlag!$B$73*$M$1,IF(M24=[1]Tallgrunnlag!$A$74,[1]Tallgrunnlag!$B$74*$M$1,IF(M24=[1]Tallgrunnlag!$A$75,[1]Tallgrunnlag!$B$75*$M$1,IF(M24=[1]Tallgrunnlag!$A$76,[1]Tallgrunnlag!$B$76*$M$1,IF(M24=[1]Tallgrunnlag!$A$77,[1]Tallgrunnlag!$B$77*$M$1,IF(M24=[1]Tallgrunnlag!$A$78,[1]Tallgrunnlag!$B$78*$M$1,IF(M24=[1]Tallgrunnlag!$A$79,[1]Tallgrunnlag!$B$79*$M$1,IF(M24=[1]Tallgrunnlag!$A$82,[1]Tallgrunnlag!$B$82*$M$1))))))))))))))))))))))))</f>
        <v>2</v>
      </c>
      <c r="O24" s="37">
        <f t="shared" si="2"/>
        <v>5.2631578947368418E-2</v>
      </c>
    </row>
    <row r="25" spans="1:15" x14ac:dyDescent="0.25">
      <c r="A25" s="41"/>
      <c r="B25" s="18"/>
      <c r="C25" s="20"/>
      <c r="D25" s="19"/>
      <c r="E25" s="20"/>
      <c r="F25" s="20"/>
      <c r="G25" s="20"/>
      <c r="H25" s="20"/>
      <c r="I25" s="42" t="str">
        <f>IF(A25="","",IF(A25=[1]Tallgrunnlag!$A$22,H25,IF(C25=[1]Tallgrunnlag!$B$92,((E25+F25+G25)*5),IF(C25=[1]Tallgrunnlag!$B$93,((E25+F25+G25)*4),E25+F25+G25))))</f>
        <v/>
      </c>
      <c r="J25" s="42" t="str">
        <f t="shared" si="3"/>
        <v/>
      </c>
      <c r="K25" s="21" t="str">
        <f>IF(A25="","",IF(A25=[1]Tallgrunnlag!$A$22,J25/D25,J25/D25))</f>
        <v/>
      </c>
      <c r="M25" s="35" t="s">
        <v>61</v>
      </c>
      <c r="N25" s="36">
        <f>IF(M25="","",IF(M25=[1]Tallgrunnlag!$A$58,[1]Tallgrunnlag!$B$58*$M$1,IF(M25=[1]Tallgrunnlag!$A$59,[1]Tallgrunnlag!$B$59*$M$1,IF(M25=[1]Tallgrunnlag!$A$60,[1]Tallgrunnlag!$B$60*$M$1,IF(M25=[1]Tallgrunnlag!$A$61,[1]Tallgrunnlag!$B$61*$M$1,IF(M25=[1]Tallgrunnlag!$A$62,[1]Tallgrunnlag!$B$62*$M$1,IF(M25=[1]Tallgrunnlag!$A$63,[1]Tallgrunnlag!$B$63*$M$1,IF(M25=[1]Tallgrunnlag!$A$64,[1]Tallgrunnlag!$B$64*$M$1,IF(M25=[1]Tallgrunnlag!$A$65,[1]Tallgrunnlag!$B$65*$M$1,IF(M25=[1]Tallgrunnlag!$A$66,[1]Tallgrunnlag!$B$66*$M$1,IF(M25=[1]Tallgrunnlag!$A$67,[1]Tallgrunnlag!$B$67*$M$1,IF(M25=[1]Tallgrunnlag!$A$68,[1]Tallgrunnlag!$B$68*$M$1,IF(M25=[1]Tallgrunnlag!$A$69,[1]Tallgrunnlag!$B$69*$M$1,IF(M25=[1]Tallgrunnlag!$A$70,[1]Tallgrunnlag!$B$70*$M$1,IF(M25=[1]Tallgrunnlag!$A$71,[1]Tallgrunnlag!$B$71*$M$1,IF(M25=[1]Tallgrunnlag!$A$72,[1]Tallgrunnlag!$B$72*$M$1,IF(M25=[1]Tallgrunnlag!$A$73,[1]Tallgrunnlag!$B$73*$M$1,IF(M25=[1]Tallgrunnlag!$A$74,[1]Tallgrunnlag!$B$74*$M$1,IF(M25=[1]Tallgrunnlag!$A$75,[1]Tallgrunnlag!$B$75*$M$1,IF(M25=[1]Tallgrunnlag!$A$76,[1]Tallgrunnlag!$B$76*$M$1,IF(M25=[1]Tallgrunnlag!$A$77,[1]Tallgrunnlag!$B$77*$M$1,IF(M25=[1]Tallgrunnlag!$A$78,[1]Tallgrunnlag!$B$78*$M$1,IF(M25=[1]Tallgrunnlag!$A$79,[1]Tallgrunnlag!$B$79*$M$1,IF(M25=[1]Tallgrunnlag!$A$82,[1]Tallgrunnlag!$B$82*$M$1))))))))))))))))))))))))</f>
        <v>95</v>
      </c>
      <c r="O25" s="37">
        <f t="shared" si="2"/>
        <v>2.5</v>
      </c>
    </row>
    <row r="26" spans="1:15" x14ac:dyDescent="0.25">
      <c r="A26" s="44" t="s">
        <v>62</v>
      </c>
      <c r="B26" s="45"/>
      <c r="C26" s="45"/>
      <c r="D26" s="46"/>
      <c r="E26" s="45"/>
      <c r="F26" s="45"/>
      <c r="G26" s="45"/>
      <c r="H26" s="45"/>
      <c r="I26" s="47">
        <f>SUM(I24:I25)</f>
        <v>15</v>
      </c>
      <c r="J26" s="47">
        <f>SUM(J24:J25)</f>
        <v>570</v>
      </c>
      <c r="K26" s="48">
        <f>SUM(K24:K25)</f>
        <v>0.85843373493975905</v>
      </c>
      <c r="M26" s="35" t="s">
        <v>63</v>
      </c>
      <c r="N26" s="36">
        <f>IF(M26="","",IF(M26=[1]Tallgrunnlag!$A$58,[1]Tallgrunnlag!$B$58*$M$1,IF(M26=[1]Tallgrunnlag!$A$59,[1]Tallgrunnlag!$B$59*$M$1,IF(M26=[1]Tallgrunnlag!$A$60,[1]Tallgrunnlag!$B$60*$M$1,IF(M26=[1]Tallgrunnlag!$A$61,[1]Tallgrunnlag!$B$61*$M$1,IF(M26=[1]Tallgrunnlag!$A$62,[1]Tallgrunnlag!$B$62*$M$1,IF(M26=[1]Tallgrunnlag!$A$63,[1]Tallgrunnlag!$B$63*$M$1,IF(M26=[1]Tallgrunnlag!$A$64,[1]Tallgrunnlag!$B$64*$M$1,IF(M26=[1]Tallgrunnlag!$A$65,[1]Tallgrunnlag!$B$65*$M$1,IF(M26=[1]Tallgrunnlag!$A$66,[1]Tallgrunnlag!$B$66*$M$1,IF(M26=[1]Tallgrunnlag!$A$67,[1]Tallgrunnlag!$B$67*$M$1,IF(M26=[1]Tallgrunnlag!$A$68,[1]Tallgrunnlag!$B$68*$M$1,IF(M26=[1]Tallgrunnlag!$A$69,[1]Tallgrunnlag!$B$69*$M$1,IF(M26=[1]Tallgrunnlag!$A$70,[1]Tallgrunnlag!$B$70*$M$1,IF(M26=[1]Tallgrunnlag!$A$71,[1]Tallgrunnlag!$B$71*$M$1,IF(M26=[1]Tallgrunnlag!$A$72,[1]Tallgrunnlag!$B$72*$M$1,IF(M26=[1]Tallgrunnlag!$A$73,[1]Tallgrunnlag!$B$73*$M$1,IF(M26=[1]Tallgrunnlag!$A$74,[1]Tallgrunnlag!$B$74*$M$1,IF(M26=[1]Tallgrunnlag!$A$75,[1]Tallgrunnlag!$B$75*$M$1,IF(M26=[1]Tallgrunnlag!$A$76,[1]Tallgrunnlag!$B$76*$M$1,IF(M26=[1]Tallgrunnlag!$A$77,[1]Tallgrunnlag!$B$77*$M$1,IF(M26=[1]Tallgrunnlag!$A$78,[1]Tallgrunnlag!$B$78*$M$1,IF(M26=[1]Tallgrunnlag!$A$79,[1]Tallgrunnlag!$B$79*$M$1,IF(M26=[1]Tallgrunnlag!$A$82,[1]Tallgrunnlag!$B$82*$M$1))))))))))))))))))))))))</f>
        <v>30</v>
      </c>
      <c r="O26" s="37">
        <f t="shared" si="2"/>
        <v>0.78947368421052633</v>
      </c>
    </row>
    <row r="27" spans="1:15" x14ac:dyDescent="0.25">
      <c r="A27" s="1"/>
      <c r="D27" s="38"/>
      <c r="I27" s="39"/>
      <c r="J27" s="39"/>
      <c r="K27" s="40"/>
      <c r="M27" s="35" t="s">
        <v>64</v>
      </c>
      <c r="N27" s="36">
        <f>IF(M27="","",IF(M27=[1]Tallgrunnlag!$A$58,[1]Tallgrunnlag!$B$58*$M$1,IF(M27=[1]Tallgrunnlag!$A$59,[1]Tallgrunnlag!$B$59*$M$1,IF(M27=[1]Tallgrunnlag!$A$60,[1]Tallgrunnlag!$B$60*$M$1,IF(M27=[1]Tallgrunnlag!$A$61,[1]Tallgrunnlag!$B$61*$M$1,IF(M27=[1]Tallgrunnlag!$A$62,[1]Tallgrunnlag!$B$62*$M$1,IF(M27=[1]Tallgrunnlag!$A$63,[1]Tallgrunnlag!$B$63*$M$1,IF(M27=[1]Tallgrunnlag!$A$64,[1]Tallgrunnlag!$B$64*$M$1,IF(M27=[1]Tallgrunnlag!$A$65,[1]Tallgrunnlag!$B$65*$M$1,IF(M27=[1]Tallgrunnlag!$A$66,[1]Tallgrunnlag!$B$66*$M$1,IF(M27=[1]Tallgrunnlag!$A$67,[1]Tallgrunnlag!$B$67*$M$1,IF(M27=[1]Tallgrunnlag!$A$68,[1]Tallgrunnlag!$B$68*$M$1,IF(M27=[1]Tallgrunnlag!$A$69,[1]Tallgrunnlag!$B$69*$M$1,IF(M27=[1]Tallgrunnlag!$A$70,[1]Tallgrunnlag!$B$70*$M$1,IF(M27=[1]Tallgrunnlag!$A$71,[1]Tallgrunnlag!$B$71*$M$1,IF(M27=[1]Tallgrunnlag!$A$72,[1]Tallgrunnlag!$B$72*$M$1,IF(M27=[1]Tallgrunnlag!$A$73,[1]Tallgrunnlag!$B$73*$M$1,IF(M27=[1]Tallgrunnlag!$A$74,[1]Tallgrunnlag!$B$74*$M$1,IF(M27=[1]Tallgrunnlag!$A$75,[1]Tallgrunnlag!$B$75*$M$1,IF(M27=[1]Tallgrunnlag!$A$76,[1]Tallgrunnlag!$B$76*$M$1,IF(M27=[1]Tallgrunnlag!$A$77,[1]Tallgrunnlag!$B$77*$M$1,IF(M27=[1]Tallgrunnlag!$A$78,[1]Tallgrunnlag!$B$78*$M$1,IF(M27=[1]Tallgrunnlag!$A$79,[1]Tallgrunnlag!$B$79*$M$1,IF(M27=[1]Tallgrunnlag!$A$82,[1]Tallgrunnlag!$B$82*$M$1))))))))))))))))))))))))</f>
        <v>47.5</v>
      </c>
      <c r="O27" s="37">
        <f t="shared" si="2"/>
        <v>1.25</v>
      </c>
    </row>
    <row r="28" spans="1:15" x14ac:dyDescent="0.25">
      <c r="A28" s="44" t="s">
        <v>65</v>
      </c>
      <c r="B28" s="45"/>
      <c r="C28" s="45"/>
      <c r="D28" s="49"/>
      <c r="E28" s="45"/>
      <c r="F28" s="45"/>
      <c r="G28" s="45"/>
      <c r="H28" s="50"/>
      <c r="I28" s="47">
        <f>I21+I26</f>
        <v>15</v>
      </c>
      <c r="J28" s="47">
        <f>J21+J26</f>
        <v>570</v>
      </c>
      <c r="K28" s="48">
        <f>K21+K26</f>
        <v>0.85843373493975905</v>
      </c>
      <c r="M28" s="35"/>
      <c r="N28" s="36" t="str">
        <f>IF(M28="","",IF(M28=[1]Tallgrunnlag!$A$58,[1]Tallgrunnlag!$B$58*$M$1,IF(M28=[1]Tallgrunnlag!$A$59,[1]Tallgrunnlag!$B$59*$M$1,IF(M28=[1]Tallgrunnlag!$A$60,[1]Tallgrunnlag!$B$60*$M$1,IF(M28=[1]Tallgrunnlag!$A$61,[1]Tallgrunnlag!$B$61*$M$1,IF(M28=[1]Tallgrunnlag!$A$62,[1]Tallgrunnlag!$B$62*$M$1,IF(M28=[1]Tallgrunnlag!$A$63,[1]Tallgrunnlag!$B$63*$M$1,IF(M28=[1]Tallgrunnlag!$A$64,[1]Tallgrunnlag!$B$64*$M$1,IF(M28=[1]Tallgrunnlag!$A$65,[1]Tallgrunnlag!$B$65*$M$1,IF(M28=[1]Tallgrunnlag!$A$66,[1]Tallgrunnlag!$B$66*$M$1,IF(M28=[1]Tallgrunnlag!$A$67,[1]Tallgrunnlag!$B$67*$M$1,IF(M28=[1]Tallgrunnlag!$A$68,[1]Tallgrunnlag!$B$68*$M$1,IF(M28=[1]Tallgrunnlag!$A$69,[1]Tallgrunnlag!$B$69*$M$1,IF(M28=[1]Tallgrunnlag!$A$70,[1]Tallgrunnlag!$B$70*$M$1,IF(M28=[1]Tallgrunnlag!$A$71,[1]Tallgrunnlag!$B$71*$M$1,IF(M28=[1]Tallgrunnlag!$A$72,[1]Tallgrunnlag!$B$72*$M$1,IF(M28=[1]Tallgrunnlag!$A$73,[1]Tallgrunnlag!$B$73*$M$1,IF(M28=[1]Tallgrunnlag!$A$74,[1]Tallgrunnlag!$B$74*$M$1,IF(M28=[1]Tallgrunnlag!$A$75,[1]Tallgrunnlag!$B$75*$M$1,IF(M28=[1]Tallgrunnlag!$A$76,[1]Tallgrunnlag!$B$76*$M$1,IF(M28=[1]Tallgrunnlag!$A$77,[1]Tallgrunnlag!$B$77*$M$1,IF(M28=[1]Tallgrunnlag!$A$78,[1]Tallgrunnlag!$B$78*$M$1,IF(M28=[1]Tallgrunnlag!$A$79,[1]Tallgrunnlag!$B$79*$M$1,IF(M28=[1]Tallgrunnlag!$A$82,[1]Tallgrunnlag!$B$82*$M$1))))))))))))))))))))))))</f>
        <v/>
      </c>
      <c r="O28" s="37" t="str">
        <f t="shared" si="2"/>
        <v/>
      </c>
    </row>
    <row r="29" spans="1:15" x14ac:dyDescent="0.25">
      <c r="D29" s="8"/>
      <c r="I29" s="39"/>
      <c r="J29" s="39"/>
      <c r="M29" s="35"/>
      <c r="N29" s="36" t="str">
        <f>IF(M29="","",IF(M29=[1]Tallgrunnlag!$A$58,[1]Tallgrunnlag!$B$58*$M$1,IF(M29=[1]Tallgrunnlag!$A$59,[1]Tallgrunnlag!$B$59*$M$1,IF(M29=[1]Tallgrunnlag!$A$60,[1]Tallgrunnlag!$B$60*$M$1,IF(M29=[1]Tallgrunnlag!$A$61,[1]Tallgrunnlag!$B$61*$M$1,IF(M29=[1]Tallgrunnlag!$A$62,[1]Tallgrunnlag!$B$62*$M$1,IF(M29=[1]Tallgrunnlag!$A$63,[1]Tallgrunnlag!$B$63*$M$1,IF(M29=[1]Tallgrunnlag!$A$64,[1]Tallgrunnlag!$B$64*$M$1,IF(M29=[1]Tallgrunnlag!$A$65,[1]Tallgrunnlag!$B$65*$M$1,IF(M29=[1]Tallgrunnlag!$A$66,[1]Tallgrunnlag!$B$66*$M$1,IF(M29=[1]Tallgrunnlag!$A$67,[1]Tallgrunnlag!$B$67*$M$1,IF(M29=[1]Tallgrunnlag!$A$68,[1]Tallgrunnlag!$B$68*$M$1,IF(M29=[1]Tallgrunnlag!$A$69,[1]Tallgrunnlag!$B$69*$M$1,IF(M29=[1]Tallgrunnlag!$A$70,[1]Tallgrunnlag!$B$70*$M$1,IF(M29=[1]Tallgrunnlag!$A$71,[1]Tallgrunnlag!$B$71*$M$1,IF(M29=[1]Tallgrunnlag!$A$72,[1]Tallgrunnlag!$B$72*$M$1,IF(M29=[1]Tallgrunnlag!$A$73,[1]Tallgrunnlag!$B$73*$M$1,IF(M29=[1]Tallgrunnlag!$A$74,[1]Tallgrunnlag!$B$74*$M$1,IF(M29=[1]Tallgrunnlag!$A$75,[1]Tallgrunnlag!$B$75*$M$1,IF(M29=[1]Tallgrunnlag!$A$76,[1]Tallgrunnlag!$B$76*$M$1,IF(M29=[1]Tallgrunnlag!$A$77,[1]Tallgrunnlag!$B$77*$M$1,IF(M29=[1]Tallgrunnlag!$A$78,[1]Tallgrunnlag!$B$78*$M$1,IF(M29=[1]Tallgrunnlag!$A$79,[1]Tallgrunnlag!$B$79*$M$1,IF(M29=[1]Tallgrunnlag!$A$82,[1]Tallgrunnlag!$B$82*$M$1))))))))))))))))))))))))</f>
        <v/>
      </c>
      <c r="O29" s="37" t="str">
        <f t="shared" si="2"/>
        <v/>
      </c>
    </row>
    <row r="30" spans="1:15" x14ac:dyDescent="0.25">
      <c r="A30" s="1" t="s">
        <v>46</v>
      </c>
      <c r="D30" s="8"/>
      <c r="F30" t="s">
        <v>66</v>
      </c>
      <c r="M30" s="35"/>
      <c r="N30" s="36" t="str">
        <f>IF(M30="","",IF(M30=[1]Tallgrunnlag!$A$58,[1]Tallgrunnlag!$B$58*$M$1,IF(M30=[1]Tallgrunnlag!$A$59,[1]Tallgrunnlag!$B$59*$M$1,IF(M30=[1]Tallgrunnlag!$A$60,[1]Tallgrunnlag!$B$60*$M$1,IF(M30=[1]Tallgrunnlag!$A$61,[1]Tallgrunnlag!$B$61*$M$1,IF(M30=[1]Tallgrunnlag!$A$62,[1]Tallgrunnlag!$B$62*$M$1,IF(M30=[1]Tallgrunnlag!$A$63,[1]Tallgrunnlag!$B$63*$M$1,IF(M30=[1]Tallgrunnlag!$A$64,[1]Tallgrunnlag!$B$64*$M$1,IF(M30=[1]Tallgrunnlag!$A$65,[1]Tallgrunnlag!$B$65*$M$1,IF(M30=[1]Tallgrunnlag!$A$66,[1]Tallgrunnlag!$B$66*$M$1,IF(M30=[1]Tallgrunnlag!$A$67,[1]Tallgrunnlag!$B$67*$M$1,IF(M30=[1]Tallgrunnlag!$A$68,[1]Tallgrunnlag!$B$68*$M$1,IF(M30=[1]Tallgrunnlag!$A$69,[1]Tallgrunnlag!$B$69*$M$1,IF(M30=[1]Tallgrunnlag!$A$70,[1]Tallgrunnlag!$B$70*$M$1,IF(M30=[1]Tallgrunnlag!$A$71,[1]Tallgrunnlag!$B$71*$M$1,IF(M30=[1]Tallgrunnlag!$A$72,[1]Tallgrunnlag!$B$72*$M$1,IF(M30=[1]Tallgrunnlag!$A$73,[1]Tallgrunnlag!$B$73*$M$1,IF(M30=[1]Tallgrunnlag!$A$74,[1]Tallgrunnlag!$B$74*$M$1,IF(M30=[1]Tallgrunnlag!$A$75,[1]Tallgrunnlag!$B$75*$M$1,IF(M30=[1]Tallgrunnlag!$A$76,[1]Tallgrunnlag!$B$76*$M$1,IF(M30=[1]Tallgrunnlag!$A$77,[1]Tallgrunnlag!$B$77*$M$1,IF(M30=[1]Tallgrunnlag!$A$78,[1]Tallgrunnlag!$B$78*$M$1,IF(M30=[1]Tallgrunnlag!$A$79,[1]Tallgrunnlag!$B$79*$M$1,IF(M30=[1]Tallgrunnlag!$A$82,[1]Tallgrunnlag!$B$82*$M$1))))))))))))))))))))))))</f>
        <v/>
      </c>
      <c r="O30" s="37" t="str">
        <f t="shared" si="2"/>
        <v/>
      </c>
    </row>
    <row r="31" spans="1:15" x14ac:dyDescent="0.25">
      <c r="A31" s="20" t="str">
        <f>IF(M2=[1]Tallgrunnlag!A47,M2,IF(M2=[1]Tallgrunnlag!A45,M2,""))</f>
        <v>Kontaktlærer 3</v>
      </c>
      <c r="B31" s="51"/>
      <c r="C31" s="20"/>
      <c r="D31" s="52">
        <f>IF(M2=[1]Tallgrunnlag!A47,[1]Tallgrunnlag!B47,IF(M2=[1]Tallgrunnlag!A45,[1]Tallgrunnlag!B45,0))</f>
        <v>664</v>
      </c>
      <c r="E31" s="42">
        <f>IF(A31=[1]Tallgrunnlag!A47,[1]Tallgrunnlag!C47,IF(A31=[1]Tallgrunnlag!A45,[1]Tallgrunnlag!C45,0))</f>
        <v>1.33</v>
      </c>
      <c r="F31" s="20">
        <f>IF(A31="","",B31)</f>
        <v>0</v>
      </c>
      <c r="G31" s="20"/>
      <c r="H31" s="20"/>
      <c r="I31" s="42">
        <f>IF(A31="","",E31)</f>
        <v>1.33</v>
      </c>
      <c r="J31" s="42">
        <f>IF(A31="","",I31*38)</f>
        <v>50.540000000000006</v>
      </c>
      <c r="K31" s="53">
        <f>IF(A31="","",IF(A31=[1]Tallgrunnlag!A42,50%,J31/D31))</f>
        <v>7.6114457831325311E-2</v>
      </c>
      <c r="M31" s="35"/>
      <c r="N31" s="36"/>
      <c r="O31" s="37"/>
    </row>
    <row r="32" spans="1:15" x14ac:dyDescent="0.25">
      <c r="A32" s="18" t="s">
        <v>67</v>
      </c>
      <c r="B32" s="54"/>
      <c r="C32" s="20"/>
      <c r="D32" s="52">
        <f>IF(A32=[1]Tallgrunnlag!$A$34,[1]Tallgrunnlag!$B$34,IF(A32=[1]Tallgrunnlag!$A$35,[1]Tallgrunnlag!$B$35,IF(A32=[1]Tallgrunnlag!$A$36,[1]Tallgrunnlag!$B$36,IF(A32=[1]Tallgrunnlag!$A$37,[1]Tallgrunnlag!$B$37,IF(A32=[1]Tallgrunnlag!$A$38,[1]Tallgrunnlag!$B$38,IF(A32=[1]Tallgrunnlag!$A$39,[1]Tallgrunnlag!$B$39,IF(A32=[1]Tallgrunnlag!$A$40,[1]Tallgrunnlag!$B$40,IF(A32=[1]Tallgrunnlag!$A$41,[1]Tallgrunnlag!$B$41,IF(A32=[1]Tallgrunnlag!$A$42,[1]Tallgrunnlag!$B$42,IF(A32=[1]Tallgrunnlag!$A$43,[1]Tallgrunnlag!$B$43,IF(A32=[1]Tallgrunnlag!$A$44,[1]Tallgrunnlag!$B$44,IF(A32=[1]Tallgrunnlag!$A$45,[1]Tallgrunnlag!$B$45,IF(A32=[1]Tallgrunnlag!$A$46,[1]Tallgrunnlag!$B$46)))))))))))))</f>
        <v>664</v>
      </c>
      <c r="E32" s="42">
        <f>IF(A32=[1]Tallgrunnlag!$A$34,[1]Tallgrunnlag!$C$34,IF(A32=[1]Tallgrunnlag!$A$35,[1]Tallgrunnlag!$C$35,IF(A32=[1]Tallgrunnlag!$A$36,[1]Tallgrunnlag!$C$36,IF(A32=[1]Tallgrunnlag!$A$37,[1]Tallgrunnlag!$C$37,IF(A32=[1]Tallgrunnlag!$A$38,[1]Tallgrunnlag!$C$38,IF(A32=[1]Tallgrunnlag!$A$39,[1]Tallgrunnlag!$C$39,IF(A32=[1]Tallgrunnlag!$A$40,[1]Tallgrunnlag!$C$40,IF(A32=[1]Tallgrunnlag!$A$41,[1]Tallgrunnlag!$C$41,IF(A32=[1]Tallgrunnlag!$A$42,[1]Tallgrunnlag!$C$42,IF(A32=[1]Tallgrunnlag!$A$43,[1]Tallgrunnlag!$C$43,IF(A32=[1]Tallgrunnlag!$A$44,[1]Tallgrunnlag!$C$44,IF(A32=[1]Tallgrunnlag!$A$45,[1]Tallgrunnlag!$C$45,IF(A32=[1]Tallgrunnlag!$A$46,[1]Tallgrunnlag!$C$46,IF(A32=[1]Tallgrunnlag!$A$47,[1]Tallgrunnlag!$C$47))))))))))))))</f>
        <v>1</v>
      </c>
      <c r="F32" s="20">
        <f>IF(A32="","",B32)</f>
        <v>0</v>
      </c>
      <c r="G32" s="20"/>
      <c r="H32" s="20"/>
      <c r="I32" s="42">
        <f>IF(A32="","",IF(A32=[1]Tallgrunnlag!$A$38,E32*$M$1,IF(A32=[1]Tallgrunnlag!$A$39,E32*$M$1,IF(A32=[1]Tallgrunnlag!$A$40,E32*$M$1,E32))))</f>
        <v>1</v>
      </c>
      <c r="J32" s="42">
        <f>IF(A32="","",I32*38)</f>
        <v>38</v>
      </c>
      <c r="K32" s="53">
        <f>IF(A32="","",J32/D32)</f>
        <v>5.7228915662650599E-2</v>
      </c>
      <c r="M32" s="35"/>
      <c r="N32" s="36"/>
      <c r="O32" s="37"/>
    </row>
    <row r="33" spans="1:18" x14ac:dyDescent="0.25">
      <c r="A33" s="18"/>
      <c r="B33" s="54"/>
      <c r="C33" s="20"/>
      <c r="D33" s="52" t="b">
        <f>IF(A33=[1]Tallgrunnlag!$A$34,[1]Tallgrunnlag!$B$34,IF(A33=[1]Tallgrunnlag!$A$35,[1]Tallgrunnlag!$B$35,IF(A33=[1]Tallgrunnlag!$A$36,[1]Tallgrunnlag!$B$36,IF(A33=[1]Tallgrunnlag!$A$37,[1]Tallgrunnlag!$B$37,IF(A33=[1]Tallgrunnlag!$A$38,[1]Tallgrunnlag!$B$38,IF(A33=[1]Tallgrunnlag!$A$39,[1]Tallgrunnlag!$B$39,IF(A33=[1]Tallgrunnlag!$A$40,[1]Tallgrunnlag!$B$40,IF(A33=[1]Tallgrunnlag!$A$41,[1]Tallgrunnlag!$B$41,IF(A33=[1]Tallgrunnlag!$A$42,[1]Tallgrunnlag!$B$42,IF(A33=[1]Tallgrunnlag!$A$43,[1]Tallgrunnlag!$B$43,IF(A33=[1]Tallgrunnlag!$A$44,[1]Tallgrunnlag!$B$44,IF(A33=[1]Tallgrunnlag!$A$45,[1]Tallgrunnlag!$B$45,IF(A33=[1]Tallgrunnlag!$A$46,[1]Tallgrunnlag!$B$46)))))))))))))</f>
        <v>0</v>
      </c>
      <c r="E33" s="42" t="b">
        <f>IF(A33=[1]Tallgrunnlag!$A$34,[1]Tallgrunnlag!$C$34,IF(A33=[1]Tallgrunnlag!$A$35,[1]Tallgrunnlag!$C$35,IF(A33=[1]Tallgrunnlag!$A$36,[1]Tallgrunnlag!$C$36,IF(A33=[1]Tallgrunnlag!$A$37,[1]Tallgrunnlag!$C$37,IF(A33=[1]Tallgrunnlag!$A$38,[1]Tallgrunnlag!$C$38,IF(A33=[1]Tallgrunnlag!$A$39,[1]Tallgrunnlag!$C$39,IF(A33=[1]Tallgrunnlag!$A$40,[1]Tallgrunnlag!$C$40,IF(A33=[1]Tallgrunnlag!$A$41,[1]Tallgrunnlag!$C$41,IF(A33=[1]Tallgrunnlag!$A$42,[1]Tallgrunnlag!$C$42,IF(A33=[1]Tallgrunnlag!$A$43,[1]Tallgrunnlag!$C$43,IF(A33=[1]Tallgrunnlag!$A$44,[1]Tallgrunnlag!$C$44,IF(A33=[1]Tallgrunnlag!$A$45,[1]Tallgrunnlag!$C$45,IF(A33=[1]Tallgrunnlag!$A$46,[1]Tallgrunnlag!$C$46,IF(A33=[1]Tallgrunnlag!$A$47,[1]Tallgrunnlag!$C$47))))))))))))))</f>
        <v>0</v>
      </c>
      <c r="F33" s="20" t="str">
        <f t="shared" ref="F33:F35" si="4">IF(A33="","",B33)</f>
        <v/>
      </c>
      <c r="G33" s="20"/>
      <c r="H33" s="20"/>
      <c r="I33" s="42" t="str">
        <f>IF(A33="","",IF(A33=[1]Tallgrunnlag!$A$38,E33*$M$1,IF(A33=[1]Tallgrunnlag!$A$39,E33*$M$1,IF(A33=[1]Tallgrunnlag!$A$40,E33*$M$1,E33))))</f>
        <v/>
      </c>
      <c r="J33" s="42" t="str">
        <f t="shared" ref="J33:J35" si="5">IF(A33="","",I33*38)</f>
        <v/>
      </c>
      <c r="K33" s="53" t="str">
        <f t="shared" ref="K33:K35" si="6">IF(A33="","",J33/D33)</f>
        <v/>
      </c>
      <c r="M33" s="35"/>
      <c r="N33" s="36"/>
      <c r="O33" s="37"/>
    </row>
    <row r="34" spans="1:18" x14ac:dyDescent="0.25">
      <c r="A34" s="18"/>
      <c r="B34" s="54"/>
      <c r="C34" s="20"/>
      <c r="D34" s="52" t="b">
        <f>IF(A34=[1]Tallgrunnlag!$A$34,[1]Tallgrunnlag!$B$34,IF(A34=[1]Tallgrunnlag!$A$35,[1]Tallgrunnlag!$B$35,IF(A34=[1]Tallgrunnlag!$A$36,[1]Tallgrunnlag!$B$36,IF(A34=[1]Tallgrunnlag!$A$37,[1]Tallgrunnlag!$B$37,IF(A34=[1]Tallgrunnlag!$A$38,[1]Tallgrunnlag!$B$38,IF(A34=[1]Tallgrunnlag!$A$39,[1]Tallgrunnlag!$B$39,IF(A34=[1]Tallgrunnlag!$A$40,[1]Tallgrunnlag!$B$40,IF(A34=[1]Tallgrunnlag!$A$41,[1]Tallgrunnlag!$B$41,IF(A34=[1]Tallgrunnlag!$A$42,[1]Tallgrunnlag!$B$42,IF(A34=[1]Tallgrunnlag!$A$43,[1]Tallgrunnlag!$B$43,IF(A34=[1]Tallgrunnlag!$A$44,[1]Tallgrunnlag!$B$44,IF(A34=[1]Tallgrunnlag!$A$45,[1]Tallgrunnlag!$B$45,IF(A34=[1]Tallgrunnlag!$A$46,[1]Tallgrunnlag!$B$46)))))))))))))</f>
        <v>0</v>
      </c>
      <c r="E34" s="42" t="b">
        <f>IF(A34=[1]Tallgrunnlag!$A$34,[1]Tallgrunnlag!$C$34,IF(A34=[1]Tallgrunnlag!$A$35,[1]Tallgrunnlag!$C$35,IF(A34=[1]Tallgrunnlag!$A$36,[1]Tallgrunnlag!$C$36,IF(A34=[1]Tallgrunnlag!$A$37,[1]Tallgrunnlag!$C$37,IF(A34=[1]Tallgrunnlag!$A$38,[1]Tallgrunnlag!$C$38,IF(A34=[1]Tallgrunnlag!$A$39,[1]Tallgrunnlag!$C$39,IF(A34=[1]Tallgrunnlag!$A$40,[1]Tallgrunnlag!$C$40,IF(A34=[1]Tallgrunnlag!$A$41,[1]Tallgrunnlag!$C$41,IF(A34=[1]Tallgrunnlag!$A$42,[1]Tallgrunnlag!$C$42,IF(A34=[1]Tallgrunnlag!$A$43,[1]Tallgrunnlag!$C$43,IF(A34=[1]Tallgrunnlag!$A$44,[1]Tallgrunnlag!$C$44,IF(A34=[1]Tallgrunnlag!$A$45,[1]Tallgrunnlag!$C$45,IF(A34=[1]Tallgrunnlag!$A$46,[1]Tallgrunnlag!$C$46,IF(A34=[1]Tallgrunnlag!$A$47,[1]Tallgrunnlag!$C$47))))))))))))))</f>
        <v>0</v>
      </c>
      <c r="F34" s="20" t="str">
        <f t="shared" si="4"/>
        <v/>
      </c>
      <c r="G34" s="20"/>
      <c r="H34" s="20"/>
      <c r="I34" s="42" t="str">
        <f>IF(A34="","",IF(A34=[1]Tallgrunnlag!$A$38,E34*$M$1,IF(A34=[1]Tallgrunnlag!$A$39,E34*$M$1,IF(A34=[1]Tallgrunnlag!$A$40,E34*$M$1,E34))))</f>
        <v/>
      </c>
      <c r="J34" s="42" t="str">
        <f t="shared" si="5"/>
        <v/>
      </c>
      <c r="K34" s="53" t="str">
        <f t="shared" si="6"/>
        <v/>
      </c>
      <c r="M34" s="26" t="s">
        <v>68</v>
      </c>
      <c r="N34" s="34">
        <f>N10-J38-SUM(N14:N33)</f>
        <v>5.4600000000000364</v>
      </c>
      <c r="O34" s="34">
        <f t="shared" si="1"/>
        <v>0.14368421052631675</v>
      </c>
    </row>
    <row r="35" spans="1:18" x14ac:dyDescent="0.25">
      <c r="A35" s="18"/>
      <c r="B35" s="54"/>
      <c r="C35" s="20"/>
      <c r="D35" s="52" t="b">
        <f>IF(A35=[1]Tallgrunnlag!$A$34,[1]Tallgrunnlag!$B$34,IF(A35=[1]Tallgrunnlag!$A$35,[1]Tallgrunnlag!$B$35,IF(A35=[1]Tallgrunnlag!$A$36,[1]Tallgrunnlag!$B$36,IF(A35=[1]Tallgrunnlag!$A$37,[1]Tallgrunnlag!$B$37,IF(A35=[1]Tallgrunnlag!$A$38,[1]Tallgrunnlag!$B$38,IF(A35=[1]Tallgrunnlag!$A$39,[1]Tallgrunnlag!$B$39,IF(A35=[1]Tallgrunnlag!$A$40,[1]Tallgrunnlag!$B$40,IF(A35=[1]Tallgrunnlag!$A$41,[1]Tallgrunnlag!$B$41,IF(A35=[1]Tallgrunnlag!$A$42,[1]Tallgrunnlag!$B$42,IF(A35=[1]Tallgrunnlag!$A$43,[1]Tallgrunnlag!$B$43,IF(A35=[1]Tallgrunnlag!$A$44,[1]Tallgrunnlag!$B$44,IF(A35=[1]Tallgrunnlag!$A$45,[1]Tallgrunnlag!$B$45,IF(A35=[1]Tallgrunnlag!$A$46,[1]Tallgrunnlag!$B$46)))))))))))))</f>
        <v>0</v>
      </c>
      <c r="E35" s="42" t="b">
        <f>IF(A35=[1]Tallgrunnlag!$A$34,[1]Tallgrunnlag!$C$34,IF(A35=[1]Tallgrunnlag!$A$35,[1]Tallgrunnlag!$C$35,IF(A35=[1]Tallgrunnlag!$A$36,[1]Tallgrunnlag!$C$36,IF(A35=[1]Tallgrunnlag!$A$37,[1]Tallgrunnlag!$C$37,IF(A35=[1]Tallgrunnlag!$A$38,[1]Tallgrunnlag!$C$38,IF(A35=[1]Tallgrunnlag!$A$39,[1]Tallgrunnlag!$C$39,IF(A35=[1]Tallgrunnlag!$A$40,[1]Tallgrunnlag!$C$40,IF(A35=[1]Tallgrunnlag!$A$41,[1]Tallgrunnlag!$C$41,IF(A35=[1]Tallgrunnlag!$A$42,[1]Tallgrunnlag!$C$42,IF(A35=[1]Tallgrunnlag!$A$43,[1]Tallgrunnlag!$C$43,IF(A35=[1]Tallgrunnlag!$A$44,[1]Tallgrunnlag!$C$44,IF(A35=[1]Tallgrunnlag!$A$45,[1]Tallgrunnlag!$C$45,IF(A35=[1]Tallgrunnlag!$A$46,[1]Tallgrunnlag!$C$46,IF(A35=[1]Tallgrunnlag!$A$47,[1]Tallgrunnlag!$C$47))))))))))))))</f>
        <v>0</v>
      </c>
      <c r="F35" s="20" t="str">
        <f t="shared" si="4"/>
        <v/>
      </c>
      <c r="G35" s="20"/>
      <c r="H35" s="20"/>
      <c r="I35" s="20" t="str">
        <f t="shared" ref="I35" si="7">IF(A35="","",E35)</f>
        <v/>
      </c>
      <c r="J35" s="20" t="str">
        <f t="shared" si="5"/>
        <v/>
      </c>
      <c r="K35" s="53" t="str">
        <f t="shared" si="6"/>
        <v/>
      </c>
      <c r="R35" s="39"/>
    </row>
    <row r="36" spans="1:18" ht="15.75" x14ac:dyDescent="0.3">
      <c r="A36" s="55" t="s">
        <v>69</v>
      </c>
      <c r="B36" s="45"/>
      <c r="C36" s="45"/>
      <c r="D36" s="45"/>
      <c r="E36" s="45"/>
      <c r="F36" s="45"/>
      <c r="G36" s="45"/>
      <c r="H36" s="45"/>
      <c r="I36" s="56">
        <f>SUM(I31:I35)</f>
        <v>2.33</v>
      </c>
      <c r="J36" s="56">
        <f>SUM(J31:J35)</f>
        <v>88.54</v>
      </c>
      <c r="K36" s="57">
        <f>SUM(K31:K35)</f>
        <v>0.1333433734939759</v>
      </c>
      <c r="R36" s="58"/>
    </row>
    <row r="37" spans="1:18" x14ac:dyDescent="0.25">
      <c r="M37" t="s">
        <v>70</v>
      </c>
    </row>
    <row r="38" spans="1:18" ht="15.75" thickBot="1" x14ac:dyDescent="0.3">
      <c r="A38" s="59" t="s">
        <v>71</v>
      </c>
      <c r="B38" s="60"/>
      <c r="C38" s="60"/>
      <c r="D38" s="60"/>
      <c r="E38" s="60"/>
      <c r="F38" s="60"/>
      <c r="G38" s="60"/>
      <c r="H38" s="60"/>
      <c r="I38" s="61">
        <f>I36+I28</f>
        <v>17.329999999999998</v>
      </c>
      <c r="J38" s="61">
        <f>J36+J28</f>
        <v>658.54</v>
      </c>
      <c r="K38" s="62">
        <f>K36+K28</f>
        <v>0.99177710843373501</v>
      </c>
    </row>
    <row r="39" spans="1:18" ht="15.75" thickTop="1" x14ac:dyDescent="0.25">
      <c r="M39" t="s">
        <v>72</v>
      </c>
    </row>
    <row r="40" spans="1:18" hidden="1" x14ac:dyDescent="0.25">
      <c r="A40" t="s">
        <v>73</v>
      </c>
      <c r="D40">
        <f>664*K40</f>
        <v>575.45999999999992</v>
      </c>
      <c r="F40" t="str">
        <f>IF(A32="Teamleder","Teamleder",IF(A33="Teamleder","Teamleder",IF(A34="Teamleder","Teamleder",IF(A35="Teamleder","Teamleder",""))))</f>
        <v>Teamleder</v>
      </c>
      <c r="I40" s="39">
        <f>D40/38</f>
        <v>15.143684210526313</v>
      </c>
      <c r="J40" s="39">
        <f>D40</f>
        <v>575.45999999999992</v>
      </c>
      <c r="K40" s="24">
        <f>M1-K21-K36</f>
        <v>0.86665662650602404</v>
      </c>
    </row>
    <row r="41" spans="1:18" ht="15.75" thickBot="1" x14ac:dyDescent="0.3">
      <c r="A41" s="63" t="s">
        <v>74</v>
      </c>
      <c r="B41" s="63"/>
      <c r="C41" s="63"/>
      <c r="D41" s="64">
        <f>664*K41</f>
        <v>5.4599999999999529</v>
      </c>
      <c r="E41" s="63"/>
      <c r="F41" s="63"/>
      <c r="G41" s="63"/>
      <c r="H41" s="63"/>
      <c r="I41" s="64">
        <f>D41/38</f>
        <v>0.14368421052631455</v>
      </c>
      <c r="J41" s="64">
        <f>D41</f>
        <v>5.4599999999999529</v>
      </c>
      <c r="K41" s="65">
        <f>M1-K38</f>
        <v>8.2228915662649893E-3</v>
      </c>
    </row>
    <row r="42" spans="1:18" ht="15.75" thickTop="1" x14ac:dyDescent="0.25"/>
  </sheetData>
  <mergeCells count="3">
    <mergeCell ref="B1:I1"/>
    <mergeCell ref="J1:L1"/>
    <mergeCell ref="J2:L2"/>
  </mergeCells>
  <conditionalFormatting sqref="K38">
    <cfRule type="cellIs" dxfId="2" priority="2" operator="lessThan">
      <formula>1</formula>
    </cfRule>
    <cfRule type="cellIs" dxfId="1" priority="3" operator="greaterThan">
      <formula>1</formula>
    </cfRule>
  </conditionalFormatting>
  <conditionalFormatting sqref="K41">
    <cfRule type="cellIs" dxfId="0" priority="1" operator="lessThan">
      <formula>0</formula>
    </cfRule>
  </conditionalFormatting>
  <dataValidations count="9">
    <dataValidation type="list" allowBlank="1" showInputMessage="1" showErrorMessage="1" sqref="C6:C20" xr:uid="{ACC1EC82-FBA4-4305-AD7D-3409DCBC9C1D}">
      <formula1>Klasse</formula1>
    </dataValidation>
    <dataValidation type="list" allowBlank="1" showInputMessage="1" showErrorMessage="1" sqref="A6:A20" xr:uid="{C9237319-9660-4589-824D-39FBAFDE629C}">
      <formula1>FAG</formula1>
    </dataValidation>
    <dataValidation type="list" allowBlank="1" showInputMessage="1" showErrorMessage="1" sqref="A32:A35" xr:uid="{D4B27E59-92A6-4340-97DA-70D6F228C6DC}">
      <formula1>Nedslag</formula1>
    </dataValidation>
    <dataValidation type="list" allowBlank="1" showInputMessage="1" showErrorMessage="1" sqref="M14:M33" xr:uid="{732E2222-9D4D-4C7C-9B3B-CF908171E13E}">
      <formula1>Fellestid</formula1>
    </dataValidation>
    <dataValidation type="list" allowBlank="1" showInputMessage="1" showErrorMessage="1" sqref="A25" xr:uid="{E9E684F0-1580-4976-81A6-6CA677F06EEF}">
      <formula1>Styrking</formula1>
    </dataValidation>
    <dataValidation type="list" allowBlank="1" showInputMessage="1" showErrorMessage="1" sqref="B1" xr:uid="{AFADAD98-89AE-4B4B-8F3D-1C41E64591A2}">
      <formula1>Ansatte</formula1>
    </dataValidation>
    <dataValidation type="list" allowBlank="1" showInputMessage="1" showErrorMessage="1" sqref="B24:B25 B32:B35 B6:B20" xr:uid="{8CFF5514-7C4F-47B8-86A6-73A317343A38}">
      <formula1>Trinn</formula1>
    </dataValidation>
    <dataValidation type="list" allowBlank="1" showInputMessage="1" showErrorMessage="1" sqref="B31" xr:uid="{15E31D67-DE86-4741-A5F3-E89F9ACE2667}">
      <formula1>Klasser</formula1>
    </dataValidation>
    <dataValidation type="list" allowBlank="1" showInputMessage="1" showErrorMessage="1" sqref="M2" xr:uid="{B8380376-0D1A-41C7-943D-7755445FB4E0}">
      <formula1>Stillingstype</formula1>
    </dataValidation>
  </dataValidations>
  <hyperlinks>
    <hyperlink ref="A1" location="Stillingsprosent!A1" display="NAVN:" xr:uid="{D8397ACC-D58A-402D-B22B-600398FE9D8A}"/>
  </hyperlink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5</vt:i4>
      </vt:variant>
    </vt:vector>
  </HeadingPairs>
  <TitlesOfParts>
    <vt:vector size="5" baseType="lpstr">
      <vt:lpstr>Oversikt ansatte</vt:lpstr>
      <vt:lpstr>StillingsbeskrivelseMAL</vt:lpstr>
      <vt:lpstr>Stillingsfordeling</vt:lpstr>
      <vt:lpstr>Stillingsplan</vt:lpstr>
      <vt:lpstr>StillingsbeskrivelseMAL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haidarnuri</dc:creator>
  <cp:lastModifiedBy>haidarnuri</cp:lastModifiedBy>
  <dcterms:created xsi:type="dcterms:W3CDTF">2020-06-02T08:27:01Z</dcterms:created>
  <dcterms:modified xsi:type="dcterms:W3CDTF">2020-06-09T20:29:17Z</dcterms:modified>
</cp:coreProperties>
</file>